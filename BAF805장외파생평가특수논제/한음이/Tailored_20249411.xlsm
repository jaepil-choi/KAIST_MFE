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rnfrbf\Desktop\특수논제\"/>
    </mc:Choice>
  </mc:AlternateContent>
  <xr:revisionPtr revIDLastSave="0" documentId="13_ncr:1_{0D97E828-E138-4FCC-937B-214119722024}" xr6:coauthVersionLast="47" xr6:coauthVersionMax="47" xr10:uidLastSave="{00000000-0000-0000-0000-000000000000}"/>
  <bookViews>
    <workbookView xWindow="-120" yWindow="-120" windowWidth="29040" windowHeight="15840" activeTab="5" xr2:uid="{4FB409B0-6262-40DE-9754-F3F5E80C8DA9}"/>
  </bookViews>
  <sheets>
    <sheet name="holiday" sheetId="2" r:id="rId1"/>
    <sheet name="market_data" sheetId="7" r:id="rId2"/>
    <sheet name="swap_curve" sheetId="3" r:id="rId3"/>
    <sheet name="imvol" sheetId="4" r:id="rId4"/>
    <sheet name="vol_surface" sheetId="5" r:id="rId5"/>
    <sheet name="simulation_path" sheetId="6" r:id="rId6"/>
  </sheets>
  <functionGroups builtInGroupCount="19"/>
  <definedNames>
    <definedName name="solver_adj" localSheetId="3" hidden="1">imvol!$Q$400</definedName>
    <definedName name="solver_adj" localSheetId="2" hidden="1">swap_curve!$F$82</definedName>
    <definedName name="solver_adj" localSheetId="4" hidden="1">vol_surface!$G$24</definedName>
    <definedName name="solver_cvg" localSheetId="3" hidden="1">0.0001</definedName>
    <definedName name="solver_cvg" localSheetId="2" hidden="1">0.0001</definedName>
    <definedName name="solver_cvg" localSheetId="4" hidden="1">0.0001</definedName>
    <definedName name="solver_drv" localSheetId="3" hidden="1">1</definedName>
    <definedName name="solver_drv" localSheetId="2" hidden="1">1</definedName>
    <definedName name="solver_drv" localSheetId="4" hidden="1">1</definedName>
    <definedName name="solver_eng" localSheetId="3" hidden="1">1</definedName>
    <definedName name="solver_eng" localSheetId="2" hidden="1">1</definedName>
    <definedName name="solver_eng" localSheetId="4" hidden="1">1</definedName>
    <definedName name="solver_est" localSheetId="3" hidden="1">1</definedName>
    <definedName name="solver_est" localSheetId="2" hidden="1">1</definedName>
    <definedName name="solver_est" localSheetId="4" hidden="1">1</definedName>
    <definedName name="solver_itr" localSheetId="3" hidden="1">2147483647</definedName>
    <definedName name="solver_itr" localSheetId="2" hidden="1">2147483647</definedName>
    <definedName name="solver_itr" localSheetId="4" hidden="1">2147483647</definedName>
    <definedName name="solver_mip" localSheetId="3" hidden="1">2147483647</definedName>
    <definedName name="solver_mip" localSheetId="2" hidden="1">2147483647</definedName>
    <definedName name="solver_mip" localSheetId="4" hidden="1">2147483647</definedName>
    <definedName name="solver_mni" localSheetId="3" hidden="1">30</definedName>
    <definedName name="solver_mni" localSheetId="2" hidden="1">30</definedName>
    <definedName name="solver_mni" localSheetId="4" hidden="1">30</definedName>
    <definedName name="solver_mrt" localSheetId="3" hidden="1">0.075</definedName>
    <definedName name="solver_mrt" localSheetId="2" hidden="1">0.075</definedName>
    <definedName name="solver_mrt" localSheetId="4" hidden="1">0.075</definedName>
    <definedName name="solver_msl" localSheetId="3" hidden="1">2</definedName>
    <definedName name="solver_msl" localSheetId="2" hidden="1">2</definedName>
    <definedName name="solver_msl" localSheetId="4" hidden="1">2</definedName>
    <definedName name="solver_neg" localSheetId="3" hidden="1">1</definedName>
    <definedName name="solver_neg" localSheetId="2" hidden="1">1</definedName>
    <definedName name="solver_neg" localSheetId="4" hidden="1">1</definedName>
    <definedName name="solver_nod" localSheetId="3" hidden="1">2147483647</definedName>
    <definedName name="solver_nod" localSheetId="2" hidden="1">2147483647</definedName>
    <definedName name="solver_nod" localSheetId="4" hidden="1">2147483647</definedName>
    <definedName name="solver_num" localSheetId="3" hidden="1">0</definedName>
    <definedName name="solver_num" localSheetId="2" hidden="1">0</definedName>
    <definedName name="solver_num" localSheetId="4" hidden="1">0</definedName>
    <definedName name="solver_nwt" localSheetId="3" hidden="1">1</definedName>
    <definedName name="solver_nwt" localSheetId="2" hidden="1">1</definedName>
    <definedName name="solver_nwt" localSheetId="4" hidden="1">1</definedName>
    <definedName name="solver_opt" localSheetId="3" hidden="1">imvol!$S$400</definedName>
    <definedName name="solver_opt" localSheetId="2" hidden="1">swap_curve!$G$82</definedName>
    <definedName name="solver_opt" localSheetId="4" hidden="1">vol_surface!$G$31</definedName>
    <definedName name="solver_pre" localSheetId="3" hidden="1">0.000001</definedName>
    <definedName name="solver_pre" localSheetId="2" hidden="1">0.000001</definedName>
    <definedName name="solver_pre" localSheetId="4" hidden="1">0.000001</definedName>
    <definedName name="solver_rbv" localSheetId="3" hidden="1">1</definedName>
    <definedName name="solver_rbv" localSheetId="2" hidden="1">1</definedName>
    <definedName name="solver_rbv" localSheetId="4" hidden="1">1</definedName>
    <definedName name="solver_rlx" localSheetId="3" hidden="1">2</definedName>
    <definedName name="solver_rlx" localSheetId="2" hidden="1">2</definedName>
    <definedName name="solver_rlx" localSheetId="4" hidden="1">2</definedName>
    <definedName name="solver_rsd" localSheetId="3" hidden="1">0</definedName>
    <definedName name="solver_rsd" localSheetId="2" hidden="1">0</definedName>
    <definedName name="solver_rsd" localSheetId="4" hidden="1">0</definedName>
    <definedName name="solver_scl" localSheetId="3" hidden="1">1</definedName>
    <definedName name="solver_scl" localSheetId="2" hidden="1">1</definedName>
    <definedName name="solver_scl" localSheetId="4" hidden="1">1</definedName>
    <definedName name="solver_sho" localSheetId="3" hidden="1">2</definedName>
    <definedName name="solver_sho" localSheetId="2" hidden="1">2</definedName>
    <definedName name="solver_sho" localSheetId="4" hidden="1">2</definedName>
    <definedName name="solver_ssz" localSheetId="3" hidden="1">100</definedName>
    <definedName name="solver_ssz" localSheetId="2" hidden="1">100</definedName>
    <definedName name="solver_ssz" localSheetId="4" hidden="1">100</definedName>
    <definedName name="solver_tim" localSheetId="3" hidden="1">2147483647</definedName>
    <definedName name="solver_tim" localSheetId="2" hidden="1">2147483647</definedName>
    <definedName name="solver_tim" localSheetId="4" hidden="1">2147483647</definedName>
    <definedName name="solver_tol" localSheetId="3" hidden="1">0.01</definedName>
    <definedName name="solver_tol" localSheetId="2" hidden="1">0.01</definedName>
    <definedName name="solver_tol" localSheetId="4" hidden="1">0.01</definedName>
    <definedName name="solver_typ" localSheetId="3" hidden="1">3</definedName>
    <definedName name="solver_typ" localSheetId="2" hidden="1">3</definedName>
    <definedName name="solver_typ" localSheetId="4" hidden="1">3</definedName>
    <definedName name="solver_val" localSheetId="3" hidden="1">0</definedName>
    <definedName name="solver_val" localSheetId="2" hidden="1">1</definedName>
    <definedName name="solver_val" localSheetId="4" hidden="1">0</definedName>
    <definedName name="solver_ver" localSheetId="3" hidden="1">3</definedName>
    <definedName name="solver_ver" localSheetId="2" hidden="1">3</definedName>
    <definedName name="solver_ver" localSheetId="4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6" l="1"/>
  <c r="D2" i="3"/>
  <c r="I2" i="3"/>
  <c r="I3" i="3" s="1"/>
  <c r="F3" i="3" s="1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CT2" i="6"/>
  <c r="CU2" i="6"/>
  <c r="CV2" i="6"/>
  <c r="CW2" i="6"/>
  <c r="CX2" i="6"/>
  <c r="CY2" i="6"/>
  <c r="CZ2" i="6"/>
  <c r="DA2" i="6"/>
  <c r="DB2" i="6"/>
  <c r="DC2" i="6"/>
  <c r="DD2" i="6"/>
  <c r="DE2" i="6"/>
  <c r="H1" i="6"/>
  <c r="A8" i="6"/>
  <c r="B19" i="3"/>
  <c r="F63" i="3"/>
  <c r="F64" i="3" s="1"/>
  <c r="F48" i="3"/>
  <c r="F51" i="3"/>
  <c r="F52" i="3" s="1"/>
  <c r="F43" i="3"/>
  <c r="F44" i="3" s="1"/>
  <c r="F31" i="3"/>
  <c r="F23" i="3"/>
  <c r="F19" i="3"/>
  <c r="F20" i="3" s="1"/>
  <c r="F15" i="3"/>
  <c r="F11" i="3"/>
  <c r="F12" i="3" s="1"/>
  <c r="F13" i="3" s="1"/>
  <c r="F7" i="3"/>
  <c r="D1" i="3"/>
  <c r="C4" i="3"/>
  <c r="C5" i="3"/>
  <c r="C6" i="3"/>
  <c r="C7" i="3"/>
  <c r="C8" i="3"/>
  <c r="C9" i="3"/>
  <c r="C10" i="3"/>
  <c r="C11" i="3"/>
  <c r="C12" i="3"/>
  <c r="C13" i="3"/>
  <c r="C14" i="3"/>
  <c r="C15" i="3"/>
  <c r="C3" i="3"/>
  <c r="B8" i="6" l="1"/>
  <c r="C8" i="6" s="1"/>
  <c r="G14" i="3" a="1"/>
  <c r="G14" i="3" s="1"/>
  <c r="F65" i="3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53" i="3"/>
  <c r="F54" i="3" s="1"/>
  <c r="F55" i="3" s="1"/>
  <c r="F56" i="3" s="1"/>
  <c r="F57" i="3" s="1"/>
  <c r="F58" i="3" s="1"/>
  <c r="F59" i="3" s="1"/>
  <c r="F60" i="3" s="1"/>
  <c r="F61" i="3" s="1"/>
  <c r="F45" i="3"/>
  <c r="F46" i="3" s="1"/>
  <c r="F47" i="3" s="1"/>
  <c r="F49" i="3" s="1"/>
  <c r="G50" i="3" s="1" a="1"/>
  <c r="G50" i="3" s="1"/>
  <c r="F32" i="3"/>
  <c r="F33" i="3" s="1"/>
  <c r="F34" i="3" s="1"/>
  <c r="F35" i="3" s="1"/>
  <c r="F36" i="3" s="1"/>
  <c r="F37" i="3" s="1"/>
  <c r="F38" i="3" s="1"/>
  <c r="F39" i="3" s="1"/>
  <c r="F40" i="3" s="1"/>
  <c r="F41" i="3" s="1"/>
  <c r="F24" i="3"/>
  <c r="F25" i="3" s="1"/>
  <c r="F26" i="3" s="1"/>
  <c r="F27" i="3" s="1"/>
  <c r="F28" i="3" s="1"/>
  <c r="F29" i="3" s="1"/>
  <c r="F21" i="3"/>
  <c r="G22" i="3" s="1" a="1"/>
  <c r="G22" i="3" s="1"/>
  <c r="F16" i="3"/>
  <c r="F17" i="3" s="1"/>
  <c r="J2" i="6"/>
  <c r="I3" i="6"/>
  <c r="I2" i="6"/>
  <c r="R10" i="4" a="1"/>
  <c r="R10" i="4" s="1"/>
  <c r="J28" i="5" a="1"/>
  <c r="I28" i="5" a="1"/>
  <c r="H28" i="5" a="1"/>
  <c r="J27" i="5" a="1"/>
  <c r="I27" i="5" a="1"/>
  <c r="H27" i="5" a="1"/>
  <c r="G28" i="5" a="1"/>
  <c r="G27" i="5" a="1"/>
  <c r="B3" i="6" l="1"/>
  <c r="A3" i="6"/>
  <c r="I4" i="6"/>
  <c r="G82" i="3" a="1"/>
  <c r="G82" i="3" s="1"/>
  <c r="G62" i="3" a="1"/>
  <c r="G62" i="3" s="1"/>
  <c r="G42" i="3" a="1"/>
  <c r="G42" i="3" s="1"/>
  <c r="G30" i="3" a="1"/>
  <c r="G30" i="3" s="1"/>
  <c r="G18" i="3" a="1"/>
  <c r="G18" i="3" s="1"/>
  <c r="J28" i="5"/>
  <c r="I28" i="5"/>
  <c r="H28" i="5"/>
  <c r="J27" i="5"/>
  <c r="J29" i="5" s="1"/>
  <c r="J30" i="5" s="1"/>
  <c r="I27" i="5"/>
  <c r="I29" i="5" s="1"/>
  <c r="I30" i="5" s="1"/>
  <c r="H27" i="5"/>
  <c r="H29" i="5" s="1"/>
  <c r="H30" i="5" s="1"/>
  <c r="G28" i="5"/>
  <c r="G27" i="5"/>
  <c r="N16" i="5"/>
  <c r="L16" i="5"/>
  <c r="X17" i="5"/>
  <c r="W17" i="5"/>
  <c r="V17" i="5"/>
  <c r="U17" i="5"/>
  <c r="T17" i="5"/>
  <c r="AB15" i="5"/>
  <c r="AC15" i="5"/>
  <c r="AD15" i="5" s="1"/>
  <c r="AE15" i="5" s="1"/>
  <c r="AF15" i="5" s="1"/>
  <c r="AG15" i="5" s="1"/>
  <c r="AH15" i="5" s="1"/>
  <c r="AI15" i="5" s="1"/>
  <c r="AA15" i="5"/>
  <c r="AE16" i="5"/>
  <c r="AF16" i="5"/>
  <c r="AG16" i="5" s="1"/>
  <c r="AH16" i="5" s="1"/>
  <c r="AI16" i="5" s="1"/>
  <c r="AD16" i="5"/>
  <c r="I16" i="5"/>
  <c r="H16" i="5" s="1"/>
  <c r="G16" i="5" s="1"/>
  <c r="J16" i="5"/>
  <c r="J17" i="5"/>
  <c r="I17" i="5" s="1"/>
  <c r="H17" i="5" s="1"/>
  <c r="G17" i="5" s="1"/>
  <c r="K17" i="5"/>
  <c r="L17" i="5"/>
  <c r="AA17" i="5"/>
  <c r="AB17" i="5"/>
  <c r="AC17" i="5"/>
  <c r="AD17" i="5" s="1"/>
  <c r="AE17" i="5" s="1"/>
  <c r="AF17" i="5" s="1"/>
  <c r="AG17" i="5" s="1"/>
  <c r="AH17" i="5" s="1"/>
  <c r="AI17" i="5" s="1"/>
  <c r="Z17" i="5"/>
  <c r="R17" i="5"/>
  <c r="Q17" i="5"/>
  <c r="O17" i="5"/>
  <c r="N17" i="5"/>
  <c r="AF18" i="5"/>
  <c r="AH18" i="5"/>
  <c r="R19" i="5"/>
  <c r="AI19" i="5"/>
  <c r="AH19" i="5"/>
  <c r="AG19" i="5"/>
  <c r="AF19" i="5"/>
  <c r="AE19" i="5"/>
  <c r="AD19" i="5"/>
  <c r="AC19" i="5"/>
  <c r="AB19" i="5"/>
  <c r="AA19" i="5"/>
  <c r="Z19" i="5"/>
  <c r="X19" i="5"/>
  <c r="W19" i="5"/>
  <c r="V19" i="5"/>
  <c r="U19" i="5"/>
  <c r="T19" i="5"/>
  <c r="O9" i="5" a="1"/>
  <c r="O9" i="5" s="1"/>
  <c r="X9" i="5"/>
  <c r="Z9" i="5"/>
  <c r="G8" i="5" a="1"/>
  <c r="G8" i="5" s="1"/>
  <c r="I8" i="5"/>
  <c r="O8" i="5"/>
  <c r="P8" i="5"/>
  <c r="R8" i="5"/>
  <c r="U8" i="5"/>
  <c r="G7" i="5" a="1"/>
  <c r="G7" i="5" s="1"/>
  <c r="P7" i="5"/>
  <c r="R7" i="5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6" i="4"/>
  <c r="S198" i="4"/>
  <c r="S214" i="4"/>
  <c r="S216" i="4"/>
  <c r="S217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1" i="4"/>
  <c r="S312" i="4"/>
  <c r="S314" i="4"/>
  <c r="S315" i="4"/>
  <c r="S317" i="4"/>
  <c r="S318" i="4"/>
  <c r="S319" i="4"/>
  <c r="S320" i="4"/>
  <c r="S321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6" i="4"/>
  <c r="S457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R2" i="4" a="1"/>
  <c r="R2" i="4" s="1"/>
  <c r="R3" i="4" a="1"/>
  <c r="R3" i="4" s="1"/>
  <c r="R4" i="4" a="1"/>
  <c r="R4" i="4" s="1"/>
  <c r="R5" i="4" a="1"/>
  <c r="R5" i="4" s="1"/>
  <c r="R6" i="4" a="1"/>
  <c r="R6" i="4" s="1"/>
  <c r="R7" i="4" a="1"/>
  <c r="R7" i="4" s="1"/>
  <c r="R8" i="4" a="1"/>
  <c r="R8" i="4" s="1"/>
  <c r="R9" i="4" a="1"/>
  <c r="R9" i="4" s="1"/>
  <c r="R11" i="4" a="1"/>
  <c r="R11" i="4" s="1"/>
  <c r="R12" i="4" a="1"/>
  <c r="R12" i="4" s="1"/>
  <c r="R13" i="4" a="1"/>
  <c r="R13" i="4" s="1"/>
  <c r="R14" i="4" a="1"/>
  <c r="R14" i="4" s="1"/>
  <c r="R15" i="4" a="1"/>
  <c r="R15" i="4" s="1"/>
  <c r="R16" i="4" a="1"/>
  <c r="R16" i="4" s="1"/>
  <c r="R17" i="4" a="1"/>
  <c r="R17" i="4" s="1"/>
  <c r="R18" i="4" a="1"/>
  <c r="R18" i="4" s="1"/>
  <c r="R19" i="4" a="1"/>
  <c r="R19" i="4" s="1"/>
  <c r="R20" i="4" a="1"/>
  <c r="R20" i="4" s="1"/>
  <c r="R21" i="4" a="1"/>
  <c r="R21" i="4" s="1"/>
  <c r="R22" i="4" a="1"/>
  <c r="R22" i="4" s="1"/>
  <c r="R23" i="4" a="1"/>
  <c r="R23" i="4" s="1"/>
  <c r="R24" i="4" a="1"/>
  <c r="R24" i="4" s="1"/>
  <c r="R25" i="4" a="1"/>
  <c r="R25" i="4" s="1"/>
  <c r="R26" i="4" a="1"/>
  <c r="R26" i="4" s="1"/>
  <c r="R27" i="4" a="1"/>
  <c r="R27" i="4" s="1"/>
  <c r="R28" i="4" a="1"/>
  <c r="R28" i="4" s="1"/>
  <c r="R29" i="4" a="1"/>
  <c r="R29" i="4" s="1"/>
  <c r="R30" i="4" a="1"/>
  <c r="R30" i="4" s="1"/>
  <c r="R31" i="4" a="1"/>
  <c r="R31" i="4" s="1"/>
  <c r="R32" i="4" a="1"/>
  <c r="R32" i="4" s="1"/>
  <c r="R33" i="4" a="1"/>
  <c r="R33" i="4" s="1"/>
  <c r="R34" i="4" a="1"/>
  <c r="R34" i="4" s="1"/>
  <c r="R35" i="4" a="1"/>
  <c r="R35" i="4" s="1"/>
  <c r="R36" i="4" a="1"/>
  <c r="R36" i="4" s="1"/>
  <c r="R37" i="4" a="1"/>
  <c r="R37" i="4" s="1"/>
  <c r="R38" i="4" a="1"/>
  <c r="R38" i="4" s="1"/>
  <c r="R39" i="4" a="1"/>
  <c r="R39" i="4" s="1"/>
  <c r="R40" i="4" a="1"/>
  <c r="R40" i="4" s="1"/>
  <c r="R41" i="4" a="1"/>
  <c r="R41" i="4" s="1"/>
  <c r="R42" i="4" a="1"/>
  <c r="R42" i="4" s="1"/>
  <c r="R43" i="4" a="1"/>
  <c r="R43" i="4" s="1"/>
  <c r="R44" i="4" a="1"/>
  <c r="R44" i="4" s="1"/>
  <c r="R45" i="4" a="1"/>
  <c r="R45" i="4" s="1"/>
  <c r="R46" i="4" a="1"/>
  <c r="R46" i="4" s="1"/>
  <c r="R47" i="4" a="1"/>
  <c r="R47" i="4" s="1"/>
  <c r="R48" i="4" a="1"/>
  <c r="R48" i="4" s="1"/>
  <c r="R49" i="4" a="1"/>
  <c r="R49" i="4" s="1"/>
  <c r="R50" i="4" a="1"/>
  <c r="R50" i="4" s="1"/>
  <c r="R51" i="4" a="1"/>
  <c r="R51" i="4" s="1"/>
  <c r="R52" i="4" a="1"/>
  <c r="R52" i="4" s="1"/>
  <c r="R53" i="4" a="1"/>
  <c r="R53" i="4" s="1"/>
  <c r="R54" i="4" a="1"/>
  <c r="R54" i="4" s="1"/>
  <c r="R55" i="4" a="1"/>
  <c r="R55" i="4" s="1"/>
  <c r="R56" i="4" a="1"/>
  <c r="R56" i="4" s="1"/>
  <c r="R57" i="4" a="1"/>
  <c r="R57" i="4" s="1"/>
  <c r="R58" i="4" a="1"/>
  <c r="R58" i="4" s="1"/>
  <c r="R59" i="4" a="1"/>
  <c r="R59" i="4" s="1"/>
  <c r="R60" i="4" a="1"/>
  <c r="R60" i="4" s="1"/>
  <c r="R61" i="4" a="1"/>
  <c r="R61" i="4" s="1"/>
  <c r="R82" i="4" a="1"/>
  <c r="R82" i="4" s="1"/>
  <c r="R83" i="4" a="1"/>
  <c r="R83" i="4" s="1"/>
  <c r="R84" i="4" a="1"/>
  <c r="R84" i="4" s="1"/>
  <c r="R85" i="4" a="1"/>
  <c r="R85" i="4" s="1"/>
  <c r="R86" i="4" a="1"/>
  <c r="R86" i="4" s="1"/>
  <c r="R87" i="4" a="1"/>
  <c r="R87" i="4" s="1"/>
  <c r="R88" i="4" a="1"/>
  <c r="R88" i="4" s="1"/>
  <c r="R89" i="4" a="1"/>
  <c r="R89" i="4" s="1"/>
  <c r="R90" i="4" a="1"/>
  <c r="R90" i="4" s="1"/>
  <c r="R91" i="4" a="1"/>
  <c r="R91" i="4" s="1"/>
  <c r="R92" i="4" a="1"/>
  <c r="R92" i="4" s="1"/>
  <c r="R93" i="4" a="1"/>
  <c r="R93" i="4" s="1"/>
  <c r="R94" i="4" a="1"/>
  <c r="R94" i="4" s="1"/>
  <c r="R95" i="4" a="1"/>
  <c r="R95" i="4" s="1"/>
  <c r="R96" i="4" a="1"/>
  <c r="R96" i="4" s="1"/>
  <c r="R97" i="4" a="1"/>
  <c r="R97" i="4" s="1"/>
  <c r="R98" i="4" a="1"/>
  <c r="R98" i="4" s="1"/>
  <c r="R99" i="4" a="1"/>
  <c r="R99" i="4" s="1"/>
  <c r="R100" i="4" a="1"/>
  <c r="R100" i="4" s="1"/>
  <c r="R101" i="4" a="1"/>
  <c r="R101" i="4" s="1"/>
  <c r="R102" i="4" a="1"/>
  <c r="R102" i="4" s="1"/>
  <c r="R103" i="4" a="1"/>
  <c r="R103" i="4" s="1"/>
  <c r="R104" i="4" a="1"/>
  <c r="R104" i="4" s="1"/>
  <c r="R105" i="4" a="1"/>
  <c r="R105" i="4" s="1"/>
  <c r="R106" i="4" a="1"/>
  <c r="R106" i="4" s="1"/>
  <c r="R107" i="4" a="1"/>
  <c r="R107" i="4" s="1"/>
  <c r="R108" i="4" a="1"/>
  <c r="R108" i="4" s="1"/>
  <c r="R109" i="4" a="1"/>
  <c r="R109" i="4" s="1"/>
  <c r="R110" i="4" a="1"/>
  <c r="R110" i="4" s="1"/>
  <c r="R111" i="4" a="1"/>
  <c r="R111" i="4" s="1"/>
  <c r="R112" i="4" a="1"/>
  <c r="R112" i="4" s="1"/>
  <c r="R113" i="4" a="1"/>
  <c r="R113" i="4" s="1"/>
  <c r="R114" i="4" a="1"/>
  <c r="R114" i="4" s="1"/>
  <c r="R115" i="4" a="1"/>
  <c r="R115" i="4" s="1"/>
  <c r="R116" i="4" a="1"/>
  <c r="R116" i="4" s="1"/>
  <c r="R117" i="4" a="1"/>
  <c r="R117" i="4" s="1"/>
  <c r="R118" i="4" a="1"/>
  <c r="R118" i="4" s="1"/>
  <c r="R119" i="4" a="1"/>
  <c r="R119" i="4" s="1"/>
  <c r="R120" i="4" a="1"/>
  <c r="R120" i="4" s="1"/>
  <c r="R121" i="4" a="1"/>
  <c r="R121" i="4" s="1"/>
  <c r="R122" i="4" a="1"/>
  <c r="R122" i="4" s="1"/>
  <c r="R123" i="4" a="1"/>
  <c r="R123" i="4" s="1"/>
  <c r="R124" i="4" a="1"/>
  <c r="R124" i="4" s="1"/>
  <c r="R125" i="4" a="1"/>
  <c r="R125" i="4" s="1"/>
  <c r="R126" i="4" a="1"/>
  <c r="R126" i="4" s="1"/>
  <c r="R127" i="4" a="1"/>
  <c r="R127" i="4" s="1"/>
  <c r="R128" i="4" a="1"/>
  <c r="R128" i="4" s="1"/>
  <c r="R129" i="4" a="1"/>
  <c r="R129" i="4" s="1"/>
  <c r="R130" i="4" a="1"/>
  <c r="R130" i="4" s="1"/>
  <c r="R131" i="4" a="1"/>
  <c r="R131" i="4" s="1"/>
  <c r="R132" i="4" a="1"/>
  <c r="R132" i="4" s="1"/>
  <c r="R133" i="4" a="1"/>
  <c r="R133" i="4" s="1"/>
  <c r="R134" i="4" a="1"/>
  <c r="R134" i="4" s="1"/>
  <c r="R135" i="4" a="1"/>
  <c r="R135" i="4" s="1"/>
  <c r="R136" i="4" a="1"/>
  <c r="R136" i="4" s="1"/>
  <c r="R137" i="4" a="1"/>
  <c r="R137" i="4" s="1"/>
  <c r="R138" i="4" a="1"/>
  <c r="R138" i="4" s="1"/>
  <c r="R139" i="4" a="1"/>
  <c r="R139" i="4" s="1"/>
  <c r="R140" i="4" a="1"/>
  <c r="R140" i="4" s="1"/>
  <c r="R141" i="4" a="1"/>
  <c r="R141" i="4" s="1"/>
  <c r="R142" i="4" a="1"/>
  <c r="R142" i="4" s="1"/>
  <c r="R143" i="4" a="1"/>
  <c r="R143" i="4" s="1"/>
  <c r="R144" i="4" a="1"/>
  <c r="R144" i="4" s="1"/>
  <c r="R145" i="4" a="1"/>
  <c r="R145" i="4" s="1"/>
  <c r="R146" i="4" a="1"/>
  <c r="R146" i="4" s="1"/>
  <c r="R147" i="4" a="1"/>
  <c r="R147" i="4" s="1"/>
  <c r="R148" i="4" a="1"/>
  <c r="R148" i="4" s="1"/>
  <c r="R149" i="4" a="1"/>
  <c r="R149" i="4" s="1"/>
  <c r="R150" i="4" a="1"/>
  <c r="R150" i="4" s="1"/>
  <c r="R151" i="4" a="1"/>
  <c r="R151" i="4" s="1"/>
  <c r="R152" i="4" a="1"/>
  <c r="R152" i="4" s="1"/>
  <c r="R153" i="4" a="1"/>
  <c r="R153" i="4" s="1"/>
  <c r="R154" i="4" a="1"/>
  <c r="R154" i="4" s="1"/>
  <c r="R155" i="4" a="1"/>
  <c r="R155" i="4" s="1"/>
  <c r="R156" i="4" a="1"/>
  <c r="R156" i="4" s="1"/>
  <c r="R157" i="4" a="1"/>
  <c r="R157" i="4" s="1"/>
  <c r="R158" i="4" a="1"/>
  <c r="R158" i="4" s="1"/>
  <c r="R159" i="4" a="1"/>
  <c r="R159" i="4" s="1"/>
  <c r="R160" i="4" a="1"/>
  <c r="R160" i="4" s="1"/>
  <c r="R161" i="4" a="1"/>
  <c r="R161" i="4" s="1"/>
  <c r="R162" i="4" a="1"/>
  <c r="R162" i="4" s="1"/>
  <c r="R163" i="4" a="1"/>
  <c r="R163" i="4" s="1"/>
  <c r="R164" i="4" a="1"/>
  <c r="R164" i="4" s="1"/>
  <c r="R165" i="4" a="1"/>
  <c r="R165" i="4" s="1"/>
  <c r="R166" i="4" a="1"/>
  <c r="R166" i="4" s="1"/>
  <c r="R167" i="4" a="1"/>
  <c r="R167" i="4" s="1"/>
  <c r="R168" i="4" a="1"/>
  <c r="R168" i="4" s="1"/>
  <c r="R169" i="4" a="1"/>
  <c r="R169" i="4" s="1"/>
  <c r="R170" i="4" a="1"/>
  <c r="R170" i="4" s="1"/>
  <c r="R171" i="4" a="1"/>
  <c r="R171" i="4" s="1"/>
  <c r="R172" i="4" a="1"/>
  <c r="R172" i="4" s="1"/>
  <c r="R173" i="4" a="1"/>
  <c r="R173" i="4" s="1"/>
  <c r="R174" i="4" a="1"/>
  <c r="R174" i="4" s="1"/>
  <c r="R175" i="4" a="1"/>
  <c r="R175" i="4" s="1"/>
  <c r="R176" i="4" a="1"/>
  <c r="R176" i="4" s="1"/>
  <c r="R177" i="4" a="1"/>
  <c r="R177" i="4" s="1"/>
  <c r="R178" i="4" a="1"/>
  <c r="R178" i="4" s="1"/>
  <c r="R179" i="4" a="1"/>
  <c r="R179" i="4" s="1"/>
  <c r="R180" i="4" a="1"/>
  <c r="R180" i="4" s="1"/>
  <c r="R181" i="4" a="1"/>
  <c r="R181" i="4" s="1"/>
  <c r="R182" i="4" a="1"/>
  <c r="R182" i="4" s="1"/>
  <c r="R183" i="4" a="1"/>
  <c r="R183" i="4" s="1"/>
  <c r="R184" i="4" a="1"/>
  <c r="R184" i="4" s="1"/>
  <c r="R185" i="4" a="1"/>
  <c r="R185" i="4" s="1"/>
  <c r="R186" i="4" a="1"/>
  <c r="R186" i="4" s="1"/>
  <c r="R187" i="4" a="1"/>
  <c r="R187" i="4" s="1"/>
  <c r="R188" i="4" a="1"/>
  <c r="R188" i="4" s="1"/>
  <c r="R189" i="4" a="1"/>
  <c r="R189" i="4" s="1"/>
  <c r="R190" i="4" a="1"/>
  <c r="R190" i="4" s="1"/>
  <c r="R191" i="4" a="1"/>
  <c r="R191" i="4" s="1"/>
  <c r="R192" i="4" a="1"/>
  <c r="R192" i="4" s="1"/>
  <c r="R193" i="4" a="1"/>
  <c r="R193" i="4" s="1"/>
  <c r="R194" i="4" a="1"/>
  <c r="R194" i="4" s="1"/>
  <c r="R196" i="4" a="1"/>
  <c r="R196" i="4" s="1"/>
  <c r="R198" i="4" a="1"/>
  <c r="R198" i="4" s="1"/>
  <c r="R214" i="4" a="1"/>
  <c r="R214" i="4" s="1"/>
  <c r="R216" i="4" a="1"/>
  <c r="R216" i="4" s="1"/>
  <c r="R217" i="4" a="1"/>
  <c r="R217" i="4" s="1"/>
  <c r="R219" i="4" a="1"/>
  <c r="R219" i="4" s="1"/>
  <c r="R220" i="4" a="1"/>
  <c r="R220" i="4" s="1"/>
  <c r="R221" i="4" a="1"/>
  <c r="R221" i="4" s="1"/>
  <c r="R222" i="4" a="1"/>
  <c r="R222" i="4" s="1"/>
  <c r="R223" i="4" a="1"/>
  <c r="R223" i="4" s="1"/>
  <c r="R224" i="4" a="1"/>
  <c r="R224" i="4" s="1"/>
  <c r="R225" i="4" a="1"/>
  <c r="R225" i="4" s="1"/>
  <c r="R226" i="4" a="1"/>
  <c r="R226" i="4" s="1"/>
  <c r="R227" i="4" a="1"/>
  <c r="R227" i="4" s="1"/>
  <c r="R228" i="4" a="1"/>
  <c r="R228" i="4" s="1"/>
  <c r="R229" i="4" a="1"/>
  <c r="R229" i="4" s="1"/>
  <c r="R230" i="4" a="1"/>
  <c r="R230" i="4" s="1"/>
  <c r="R231" i="4" a="1"/>
  <c r="R231" i="4" s="1"/>
  <c r="R232" i="4" a="1"/>
  <c r="R232" i="4" s="1"/>
  <c r="R233" i="4" a="1"/>
  <c r="R233" i="4" s="1"/>
  <c r="R234" i="4" a="1"/>
  <c r="R234" i="4" s="1"/>
  <c r="R235" i="4" a="1"/>
  <c r="R235" i="4" s="1"/>
  <c r="R236" i="4" a="1"/>
  <c r="R236" i="4" s="1"/>
  <c r="R237" i="4" a="1"/>
  <c r="R237" i="4" s="1"/>
  <c r="R238" i="4" a="1"/>
  <c r="R238" i="4" s="1"/>
  <c r="R239" i="4" a="1"/>
  <c r="R239" i="4" s="1"/>
  <c r="R240" i="4" a="1"/>
  <c r="R240" i="4" s="1"/>
  <c r="R241" i="4" a="1"/>
  <c r="R241" i="4" s="1"/>
  <c r="R242" i="4" a="1"/>
  <c r="R242" i="4" s="1"/>
  <c r="R243" i="4" a="1"/>
  <c r="R243" i="4" s="1"/>
  <c r="R244" i="4" a="1"/>
  <c r="R244" i="4" s="1"/>
  <c r="R245" i="4" a="1"/>
  <c r="R245" i="4" s="1"/>
  <c r="R246" i="4" a="1"/>
  <c r="R246" i="4" s="1"/>
  <c r="R247" i="4" a="1"/>
  <c r="R247" i="4" s="1"/>
  <c r="R248" i="4" a="1"/>
  <c r="R248" i="4" s="1"/>
  <c r="R249" i="4" a="1"/>
  <c r="R249" i="4" s="1"/>
  <c r="R250" i="4" a="1"/>
  <c r="R250" i="4" s="1"/>
  <c r="R251" i="4" a="1"/>
  <c r="R251" i="4" s="1"/>
  <c r="R252" i="4" a="1"/>
  <c r="R252" i="4" s="1"/>
  <c r="R253" i="4" a="1"/>
  <c r="R253" i="4" s="1"/>
  <c r="R254" i="4" a="1"/>
  <c r="R254" i="4" s="1"/>
  <c r="R255" i="4" a="1"/>
  <c r="R255" i="4" s="1"/>
  <c r="R256" i="4" a="1"/>
  <c r="R256" i="4" s="1"/>
  <c r="R257" i="4" a="1"/>
  <c r="R257" i="4" s="1"/>
  <c r="R258" i="4" a="1"/>
  <c r="R258" i="4" s="1"/>
  <c r="R259" i="4" a="1"/>
  <c r="R259" i="4" s="1"/>
  <c r="R260" i="4" a="1"/>
  <c r="R260" i="4" s="1"/>
  <c r="R261" i="4" a="1"/>
  <c r="R261" i="4" s="1"/>
  <c r="R262" i="4" a="1"/>
  <c r="R262" i="4" s="1"/>
  <c r="R263" i="4" a="1"/>
  <c r="R263" i="4" s="1"/>
  <c r="R264" i="4" a="1"/>
  <c r="R264" i="4" s="1"/>
  <c r="R265" i="4" a="1"/>
  <c r="R265" i="4" s="1"/>
  <c r="R266" i="4" a="1"/>
  <c r="R266" i="4" s="1"/>
  <c r="R267" i="4" a="1"/>
  <c r="R267" i="4" s="1"/>
  <c r="R268" i="4" a="1"/>
  <c r="R268" i="4" s="1"/>
  <c r="R269" i="4" a="1"/>
  <c r="R269" i="4" s="1"/>
  <c r="R270" i="4" a="1"/>
  <c r="R270" i="4" s="1"/>
  <c r="R271" i="4" a="1"/>
  <c r="R271" i="4" s="1"/>
  <c r="R272" i="4" a="1"/>
  <c r="R272" i="4" s="1"/>
  <c r="R273" i="4" a="1"/>
  <c r="R273" i="4" s="1"/>
  <c r="R274" i="4" a="1"/>
  <c r="R274" i="4" s="1"/>
  <c r="R275" i="4" a="1"/>
  <c r="R275" i="4" s="1"/>
  <c r="R276" i="4" a="1"/>
  <c r="R276" i="4" s="1"/>
  <c r="R277" i="4" a="1"/>
  <c r="R277" i="4" s="1"/>
  <c r="R278" i="4" a="1"/>
  <c r="R278" i="4" s="1"/>
  <c r="R279" i="4" a="1"/>
  <c r="R279" i="4" s="1"/>
  <c r="R280" i="4" a="1"/>
  <c r="R280" i="4" s="1"/>
  <c r="R281" i="4" a="1"/>
  <c r="R281" i="4" s="1"/>
  <c r="R282" i="4" a="1"/>
  <c r="R282" i="4" s="1"/>
  <c r="R283" i="4" a="1"/>
  <c r="R283" i="4" s="1"/>
  <c r="R284" i="4" a="1"/>
  <c r="R284" i="4" s="1"/>
  <c r="R285" i="4" a="1"/>
  <c r="R285" i="4" s="1"/>
  <c r="R286" i="4" a="1"/>
  <c r="R286" i="4" s="1"/>
  <c r="R287" i="4" a="1"/>
  <c r="R287" i="4" s="1"/>
  <c r="R288" i="4" a="1"/>
  <c r="R288" i="4" s="1"/>
  <c r="R289" i="4" a="1"/>
  <c r="R289" i="4" s="1"/>
  <c r="R290" i="4" a="1"/>
  <c r="R290" i="4" s="1"/>
  <c r="R291" i="4" a="1"/>
  <c r="R291" i="4" s="1"/>
  <c r="R292" i="4" a="1"/>
  <c r="R292" i="4" s="1"/>
  <c r="R293" i="4" a="1"/>
  <c r="R293" i="4" s="1"/>
  <c r="R294" i="4" a="1"/>
  <c r="R294" i="4" s="1"/>
  <c r="R295" i="4" a="1"/>
  <c r="R295" i="4" s="1"/>
  <c r="R296" i="4" a="1"/>
  <c r="R296" i="4" s="1"/>
  <c r="R297" i="4" a="1"/>
  <c r="R297" i="4" s="1"/>
  <c r="R298" i="4" a="1"/>
  <c r="R298" i="4" s="1"/>
  <c r="R299" i="4" a="1"/>
  <c r="R299" i="4" s="1"/>
  <c r="R300" i="4" a="1"/>
  <c r="R300" i="4" s="1"/>
  <c r="R301" i="4" a="1"/>
  <c r="R301" i="4" s="1"/>
  <c r="R302" i="4" a="1"/>
  <c r="R302" i="4" s="1"/>
  <c r="R303" i="4" a="1"/>
  <c r="R303" i="4" s="1"/>
  <c r="R304" i="4" a="1"/>
  <c r="R304" i="4" s="1"/>
  <c r="R305" i="4" a="1"/>
  <c r="R305" i="4" s="1"/>
  <c r="R306" i="4" a="1"/>
  <c r="R306" i="4" s="1"/>
  <c r="R307" i="4" a="1"/>
  <c r="R307" i="4" s="1"/>
  <c r="R308" i="4" a="1"/>
  <c r="R308" i="4" s="1"/>
  <c r="R309" i="4" a="1"/>
  <c r="R309" i="4" s="1"/>
  <c r="R311" i="4" a="1"/>
  <c r="R311" i="4" s="1"/>
  <c r="R312" i="4" a="1"/>
  <c r="R312" i="4" s="1"/>
  <c r="R314" i="4" a="1"/>
  <c r="R314" i="4" s="1"/>
  <c r="R315" i="4" a="1"/>
  <c r="R315" i="4" s="1"/>
  <c r="R317" i="4" a="1"/>
  <c r="R317" i="4" s="1"/>
  <c r="R318" i="4" a="1"/>
  <c r="R318" i="4" s="1"/>
  <c r="R319" i="4" a="1"/>
  <c r="R319" i="4" s="1"/>
  <c r="R320" i="4" a="1"/>
  <c r="R320" i="4" s="1"/>
  <c r="R321" i="4" a="1"/>
  <c r="R321" i="4" s="1"/>
  <c r="R323" i="4" a="1"/>
  <c r="R323" i="4" s="1"/>
  <c r="R324" i="4" a="1"/>
  <c r="R324" i="4" s="1"/>
  <c r="R325" i="4" a="1"/>
  <c r="R325" i="4" s="1"/>
  <c r="R326" i="4" a="1"/>
  <c r="R326" i="4" s="1"/>
  <c r="R327" i="4" a="1"/>
  <c r="R327" i="4" s="1"/>
  <c r="R328" i="4" a="1"/>
  <c r="R328" i="4" s="1"/>
  <c r="R329" i="4" a="1"/>
  <c r="R329" i="4" s="1"/>
  <c r="R330" i="4" a="1"/>
  <c r="R330" i="4" s="1"/>
  <c r="R331" i="4" a="1"/>
  <c r="R331" i="4" s="1"/>
  <c r="R332" i="4" a="1"/>
  <c r="R332" i="4" s="1"/>
  <c r="R333" i="4" a="1"/>
  <c r="R333" i="4" s="1"/>
  <c r="R334" i="4" a="1"/>
  <c r="R334" i="4" s="1"/>
  <c r="R335" i="4" a="1"/>
  <c r="R335" i="4" s="1"/>
  <c r="R336" i="4" a="1"/>
  <c r="R336" i="4" s="1"/>
  <c r="R337" i="4" a="1"/>
  <c r="R337" i="4" s="1"/>
  <c r="R338" i="4" a="1"/>
  <c r="R338" i="4" s="1"/>
  <c r="R339" i="4" a="1"/>
  <c r="R339" i="4" s="1"/>
  <c r="R340" i="4" a="1"/>
  <c r="R340" i="4" s="1"/>
  <c r="R341" i="4" a="1"/>
  <c r="R341" i="4" s="1"/>
  <c r="R342" i="4" a="1"/>
  <c r="R342" i="4" s="1"/>
  <c r="R343" i="4" a="1"/>
  <c r="R343" i="4" s="1"/>
  <c r="R344" i="4" a="1"/>
  <c r="R344" i="4" s="1"/>
  <c r="R345" i="4" a="1"/>
  <c r="R345" i="4" s="1"/>
  <c r="R346" i="4" a="1"/>
  <c r="R346" i="4" s="1"/>
  <c r="R347" i="4" a="1"/>
  <c r="R347" i="4" s="1"/>
  <c r="R348" i="4" a="1"/>
  <c r="R348" i="4" s="1"/>
  <c r="R349" i="4" a="1"/>
  <c r="R349" i="4" s="1"/>
  <c r="R350" i="4" a="1"/>
  <c r="R350" i="4" s="1"/>
  <c r="R351" i="4" a="1"/>
  <c r="R351" i="4" s="1"/>
  <c r="R352" i="4" a="1"/>
  <c r="R352" i="4" s="1"/>
  <c r="R353" i="4" a="1"/>
  <c r="R353" i="4" s="1"/>
  <c r="R354" i="4" a="1"/>
  <c r="R354" i="4" s="1"/>
  <c r="R355" i="4" a="1"/>
  <c r="R355" i="4" s="1"/>
  <c r="R356" i="4" a="1"/>
  <c r="R356" i="4" s="1"/>
  <c r="R357" i="4" a="1"/>
  <c r="R357" i="4" s="1"/>
  <c r="R358" i="4" a="1"/>
  <c r="R358" i="4" s="1"/>
  <c r="R359" i="4" a="1"/>
  <c r="R359" i="4" s="1"/>
  <c r="R360" i="4" a="1"/>
  <c r="R360" i="4" s="1"/>
  <c r="R361" i="4" a="1"/>
  <c r="R361" i="4" s="1"/>
  <c r="R362" i="4" a="1"/>
  <c r="R362" i="4" s="1"/>
  <c r="R363" i="4" a="1"/>
  <c r="R363" i="4" s="1"/>
  <c r="R364" i="4" a="1"/>
  <c r="R364" i="4" s="1"/>
  <c r="R365" i="4" a="1"/>
  <c r="R365" i="4" s="1"/>
  <c r="R366" i="4" a="1"/>
  <c r="R366" i="4" s="1"/>
  <c r="R367" i="4" a="1"/>
  <c r="R367" i="4" s="1"/>
  <c r="R368" i="4" a="1"/>
  <c r="R368" i="4" s="1"/>
  <c r="R369" i="4" a="1"/>
  <c r="R369" i="4" s="1"/>
  <c r="R370" i="4" a="1"/>
  <c r="R370" i="4" s="1"/>
  <c r="R371" i="4" a="1"/>
  <c r="R371" i="4" s="1"/>
  <c r="R372" i="4" a="1"/>
  <c r="R372" i="4" s="1"/>
  <c r="R373" i="4" a="1"/>
  <c r="R373" i="4" s="1"/>
  <c r="R374" i="4" a="1"/>
  <c r="R374" i="4" s="1"/>
  <c r="R375" i="4" a="1"/>
  <c r="R375" i="4" s="1"/>
  <c r="R376" i="4" a="1"/>
  <c r="R376" i="4" s="1"/>
  <c r="R377" i="4" a="1"/>
  <c r="R377" i="4" s="1"/>
  <c r="R378" i="4" a="1"/>
  <c r="R378" i="4" s="1"/>
  <c r="R379" i="4" a="1"/>
  <c r="R379" i="4" s="1"/>
  <c r="R380" i="4" a="1"/>
  <c r="R380" i="4" s="1"/>
  <c r="R381" i="4" a="1"/>
  <c r="R381" i="4" s="1"/>
  <c r="R382" i="4" a="1"/>
  <c r="R382" i="4" s="1"/>
  <c r="R383" i="4" a="1"/>
  <c r="R383" i="4" s="1"/>
  <c r="R384" i="4" a="1"/>
  <c r="R384" i="4" s="1"/>
  <c r="R385" i="4" a="1"/>
  <c r="R385" i="4" s="1"/>
  <c r="R386" i="4" a="1"/>
  <c r="R386" i="4" s="1"/>
  <c r="R387" i="4" a="1"/>
  <c r="R387" i="4" s="1"/>
  <c r="R388" i="4" a="1"/>
  <c r="R388" i="4" s="1"/>
  <c r="R389" i="4" a="1"/>
  <c r="R389" i="4" s="1"/>
  <c r="R390" i="4" a="1"/>
  <c r="R390" i="4" s="1"/>
  <c r="R391" i="4" a="1"/>
  <c r="R391" i="4" s="1"/>
  <c r="R392" i="4" a="1"/>
  <c r="R392" i="4" s="1"/>
  <c r="R393" i="4" a="1"/>
  <c r="R393" i="4" s="1"/>
  <c r="R394" i="4" a="1"/>
  <c r="R394" i="4" s="1"/>
  <c r="R395" i="4" a="1"/>
  <c r="R395" i="4" s="1"/>
  <c r="R396" i="4" a="1"/>
  <c r="R396" i="4" s="1"/>
  <c r="R397" i="4" a="1"/>
  <c r="R397" i="4" s="1"/>
  <c r="R401" i="4" a="1"/>
  <c r="R401" i="4" s="1"/>
  <c r="R402" i="4" a="1"/>
  <c r="R402" i="4" s="1"/>
  <c r="R403" i="4" a="1"/>
  <c r="R403" i="4" s="1"/>
  <c r="R404" i="4" a="1"/>
  <c r="R404" i="4" s="1"/>
  <c r="R405" i="4" a="1"/>
  <c r="R405" i="4" s="1"/>
  <c r="R406" i="4" a="1"/>
  <c r="R406" i="4" s="1"/>
  <c r="R407" i="4" a="1"/>
  <c r="R407" i="4" s="1"/>
  <c r="R408" i="4" a="1"/>
  <c r="R408" i="4" s="1"/>
  <c r="R409" i="4" a="1"/>
  <c r="R409" i="4" s="1"/>
  <c r="R410" i="4" a="1"/>
  <c r="R410" i="4" s="1"/>
  <c r="R411" i="4" a="1"/>
  <c r="R411" i="4" s="1"/>
  <c r="R412" i="4" a="1"/>
  <c r="R412" i="4" s="1"/>
  <c r="R413" i="4" a="1"/>
  <c r="R413" i="4" s="1"/>
  <c r="R414" i="4" a="1"/>
  <c r="R414" i="4" s="1"/>
  <c r="R415" i="4" a="1"/>
  <c r="R415" i="4" s="1"/>
  <c r="R416" i="4" a="1"/>
  <c r="R416" i="4" s="1"/>
  <c r="R417" i="4" a="1"/>
  <c r="R417" i="4" s="1"/>
  <c r="R418" i="4" a="1"/>
  <c r="R418" i="4" s="1"/>
  <c r="R419" i="4" a="1"/>
  <c r="R419" i="4" s="1"/>
  <c r="R420" i="4" a="1"/>
  <c r="R420" i="4" s="1"/>
  <c r="R421" i="4" a="1"/>
  <c r="R421" i="4" s="1"/>
  <c r="R422" i="4" a="1"/>
  <c r="R422" i="4" s="1"/>
  <c r="R423" i="4" a="1"/>
  <c r="R423" i="4" s="1"/>
  <c r="R424" i="4" a="1"/>
  <c r="R424" i="4" s="1"/>
  <c r="R425" i="4" a="1"/>
  <c r="R425" i="4" s="1"/>
  <c r="R426" i="4" a="1"/>
  <c r="R426" i="4" s="1"/>
  <c r="R427" i="4" a="1"/>
  <c r="R427" i="4" s="1"/>
  <c r="R428" i="4" a="1"/>
  <c r="R428" i="4" s="1"/>
  <c r="R429" i="4" a="1"/>
  <c r="R429" i="4" s="1"/>
  <c r="R430" i="4" a="1"/>
  <c r="R430" i="4" s="1"/>
  <c r="R431" i="4" a="1"/>
  <c r="R431" i="4" s="1"/>
  <c r="R432" i="4" a="1"/>
  <c r="R432" i="4" s="1"/>
  <c r="R433" i="4" a="1"/>
  <c r="R433" i="4" s="1"/>
  <c r="R434" i="4" a="1"/>
  <c r="R434" i="4" s="1"/>
  <c r="R435" i="4" a="1"/>
  <c r="R435" i="4" s="1"/>
  <c r="R436" i="4" a="1"/>
  <c r="R436" i="4" s="1"/>
  <c r="R437" i="4" a="1"/>
  <c r="R437" i="4" s="1"/>
  <c r="R438" i="4" a="1"/>
  <c r="R438" i="4" s="1"/>
  <c r="R439" i="4" a="1"/>
  <c r="R439" i="4" s="1"/>
  <c r="R440" i="4" a="1"/>
  <c r="R440" i="4" s="1"/>
  <c r="R441" i="4" a="1"/>
  <c r="R441" i="4" s="1"/>
  <c r="R442" i="4" a="1"/>
  <c r="R442" i="4" s="1"/>
  <c r="R443" i="4" a="1"/>
  <c r="R443" i="4" s="1"/>
  <c r="R444" i="4" a="1"/>
  <c r="R444" i="4" s="1"/>
  <c r="R445" i="4" a="1"/>
  <c r="R445" i="4" s="1"/>
  <c r="R446" i="4" a="1"/>
  <c r="R446" i="4" s="1"/>
  <c r="R447" i="4" a="1"/>
  <c r="R447" i="4" s="1"/>
  <c r="R448" i="4" a="1"/>
  <c r="R448" i="4" s="1"/>
  <c r="R449" i="4" a="1"/>
  <c r="R449" i="4" s="1"/>
  <c r="R450" i="4" a="1"/>
  <c r="R450" i="4" s="1"/>
  <c r="R451" i="4" a="1"/>
  <c r="R451" i="4" s="1"/>
  <c r="R452" i="4" a="1"/>
  <c r="R452" i="4" s="1"/>
  <c r="R453" i="4" a="1"/>
  <c r="R453" i="4" s="1"/>
  <c r="R456" i="4" a="1"/>
  <c r="R456" i="4" s="1"/>
  <c r="R457" i="4" a="1"/>
  <c r="R457" i="4" s="1"/>
  <c r="R459" i="4" a="1"/>
  <c r="R459" i="4" s="1"/>
  <c r="R460" i="4" a="1"/>
  <c r="R460" i="4" s="1"/>
  <c r="R461" i="4" a="1"/>
  <c r="R461" i="4" s="1"/>
  <c r="R462" i="4" a="1"/>
  <c r="R462" i="4" s="1"/>
  <c r="R463" i="4" a="1"/>
  <c r="R463" i="4" s="1"/>
  <c r="R464" i="4" a="1"/>
  <c r="R464" i="4" s="1"/>
  <c r="R465" i="4" a="1"/>
  <c r="R465" i="4" s="1"/>
  <c r="R466" i="4" a="1"/>
  <c r="R466" i="4" s="1"/>
  <c r="R467" i="4" a="1"/>
  <c r="R467" i="4" s="1"/>
  <c r="R468" i="4" a="1"/>
  <c r="R468" i="4" s="1"/>
  <c r="R469" i="4" a="1"/>
  <c r="R469" i="4" s="1"/>
  <c r="R470" i="4" a="1"/>
  <c r="R470" i="4" s="1"/>
  <c r="R471" i="4" a="1"/>
  <c r="R471" i="4" s="1"/>
  <c r="R472" i="4" a="1"/>
  <c r="R472" i="4" s="1"/>
  <c r="R473" i="4" a="1"/>
  <c r="R473" i="4" s="1"/>
  <c r="R474" i="4" a="1"/>
  <c r="R474" i="4" s="1"/>
  <c r="R475" i="4" a="1"/>
  <c r="R475" i="4" s="1"/>
  <c r="R476" i="4" a="1"/>
  <c r="R476" i="4" s="1"/>
  <c r="R477" i="4" a="1"/>
  <c r="R477" i="4" s="1"/>
  <c r="R478" i="4" a="1"/>
  <c r="R478" i="4" s="1"/>
  <c r="R479" i="4" a="1"/>
  <c r="R479" i="4" s="1"/>
  <c r="R480" i="4" a="1"/>
  <c r="R480" i="4" s="1"/>
  <c r="R481" i="4" a="1"/>
  <c r="R481" i="4" s="1"/>
  <c r="R482" i="4" a="1"/>
  <c r="R482" i="4" s="1"/>
  <c r="R483" i="4" a="1"/>
  <c r="R483" i="4" s="1"/>
  <c r="R484" i="4" a="1"/>
  <c r="R484" i="4" s="1"/>
  <c r="R485" i="4" a="1"/>
  <c r="R485" i="4" s="1"/>
  <c r="R486" i="4" a="1"/>
  <c r="R486" i="4" s="1"/>
  <c r="R487" i="4" a="1"/>
  <c r="R487" i="4" s="1"/>
  <c r="R488" i="4" a="1"/>
  <c r="R488" i="4" s="1"/>
  <c r="R489" i="4" a="1"/>
  <c r="R489" i="4" s="1"/>
  <c r="R490" i="4" a="1"/>
  <c r="R490" i="4" s="1"/>
  <c r="R491" i="4" a="1"/>
  <c r="R491" i="4" s="1"/>
  <c r="R492" i="4" a="1"/>
  <c r="R492" i="4" s="1"/>
  <c r="R493" i="4" a="1"/>
  <c r="R493" i="4" s="1"/>
  <c r="R494" i="4" a="1"/>
  <c r="R494" i="4" s="1"/>
  <c r="R495" i="4" a="1"/>
  <c r="R495" i="4" s="1"/>
  <c r="R496" i="4" a="1"/>
  <c r="R496" i="4" s="1"/>
  <c r="R497" i="4" a="1"/>
  <c r="R497" i="4" s="1"/>
  <c r="R498" i="4" a="1"/>
  <c r="R498" i="4" s="1"/>
  <c r="R499" i="4" a="1"/>
  <c r="R499" i="4" s="1"/>
  <c r="R500" i="4" a="1"/>
  <c r="R500" i="4" s="1"/>
  <c r="R501" i="4" a="1"/>
  <c r="R501" i="4" s="1"/>
  <c r="R502" i="4" a="1"/>
  <c r="R502" i="4" s="1"/>
  <c r="R503" i="4" a="1"/>
  <c r="R503" i="4" s="1"/>
  <c r="R504" i="4" a="1"/>
  <c r="R504" i="4" s="1"/>
  <c r="R505" i="4" a="1"/>
  <c r="R505" i="4" s="1"/>
  <c r="R506" i="4" a="1"/>
  <c r="R506" i="4" s="1"/>
  <c r="R507" i="4" a="1"/>
  <c r="R507" i="4" s="1"/>
  <c r="R508" i="4" a="1"/>
  <c r="R508" i="4" s="1"/>
  <c r="R509" i="4" a="1"/>
  <c r="R509" i="4" s="1"/>
  <c r="R510" i="4" a="1"/>
  <c r="R510" i="4" s="1"/>
  <c r="R511" i="4" a="1"/>
  <c r="R511" i="4" s="1"/>
  <c r="R512" i="4" a="1"/>
  <c r="R512" i="4" s="1"/>
  <c r="R513" i="4" a="1"/>
  <c r="R513" i="4" s="1"/>
  <c r="R514" i="4" a="1"/>
  <c r="R514" i="4" s="1"/>
  <c r="R515" i="4" a="1"/>
  <c r="R515" i="4" s="1"/>
  <c r="R516" i="4" a="1"/>
  <c r="R516" i="4" s="1"/>
  <c r="R517" i="4" a="1"/>
  <c r="R517" i="4" s="1"/>
  <c r="R518" i="4" a="1"/>
  <c r="R518" i="4" s="1"/>
  <c r="R519" i="4" a="1"/>
  <c r="R519" i="4" s="1"/>
  <c r="R520" i="4" a="1"/>
  <c r="R520" i="4" s="1"/>
  <c r="R521" i="4" a="1"/>
  <c r="R521" i="4" s="1"/>
  <c r="R522" i="4" a="1"/>
  <c r="R522" i="4" s="1"/>
  <c r="R523" i="4" a="1"/>
  <c r="R523" i="4" s="1"/>
  <c r="R524" i="4" a="1"/>
  <c r="R524" i="4" s="1"/>
  <c r="R525" i="4" a="1"/>
  <c r="R525" i="4" s="1"/>
  <c r="R526" i="4" a="1"/>
  <c r="R526" i="4" s="1"/>
  <c r="R527" i="4" a="1"/>
  <c r="R527" i="4" s="1"/>
  <c r="R528" i="4" a="1"/>
  <c r="R528" i="4" s="1"/>
  <c r="R529" i="4" a="1"/>
  <c r="R529" i="4" s="1"/>
  <c r="R530" i="4" a="1"/>
  <c r="R530" i="4" s="1"/>
  <c r="R531" i="4" a="1"/>
  <c r="R531" i="4" s="1"/>
  <c r="R532" i="4" a="1"/>
  <c r="R532" i="4" s="1"/>
  <c r="R533" i="4" a="1"/>
  <c r="R533" i="4" s="1"/>
  <c r="R534" i="4" a="1"/>
  <c r="R534" i="4" s="1"/>
  <c r="R535" i="4" a="1"/>
  <c r="R535" i="4" s="1"/>
  <c r="R536" i="4" a="1"/>
  <c r="R536" i="4" s="1"/>
  <c r="R537" i="4" a="1"/>
  <c r="R537" i="4" s="1"/>
  <c r="R538" i="4" a="1"/>
  <c r="R538" i="4" s="1"/>
  <c r="R539" i="4" a="1"/>
  <c r="R539" i="4" s="1"/>
  <c r="R540" i="4" a="1"/>
  <c r="R540" i="4" s="1"/>
  <c r="R541" i="4" a="1"/>
  <c r="R541" i="4" s="1"/>
  <c r="R542" i="4" a="1"/>
  <c r="R542" i="4" s="1"/>
  <c r="R543" i="4" a="1"/>
  <c r="R543" i="4" s="1"/>
  <c r="R544" i="4" a="1"/>
  <c r="R544" i="4" s="1"/>
  <c r="R545" i="4" a="1"/>
  <c r="R545" i="4" s="1"/>
  <c r="R546" i="4" a="1"/>
  <c r="R546" i="4" s="1"/>
  <c r="R547" i="4" a="1"/>
  <c r="R547" i="4" s="1"/>
  <c r="R548" i="4" a="1"/>
  <c r="R548" i="4" s="1"/>
  <c r="R549" i="4" a="1"/>
  <c r="R549" i="4" s="1"/>
  <c r="R550" i="4" a="1"/>
  <c r="R550" i="4" s="1"/>
  <c r="R551" i="4" a="1"/>
  <c r="R551" i="4" s="1"/>
  <c r="R552" i="4" a="1"/>
  <c r="R552" i="4" s="1"/>
  <c r="R553" i="4" a="1"/>
  <c r="R553" i="4" s="1"/>
  <c r="R554" i="4" a="1"/>
  <c r="R554" i="4" s="1"/>
  <c r="R555" i="4" a="1"/>
  <c r="R555" i="4" s="1"/>
  <c r="R556" i="4" a="1"/>
  <c r="R556" i="4" s="1"/>
  <c r="R557" i="4" a="1"/>
  <c r="R557" i="4" s="1"/>
  <c r="R558" i="4" a="1"/>
  <c r="R558" i="4" s="1"/>
  <c r="R559" i="4" a="1"/>
  <c r="R559" i="4" s="1"/>
  <c r="R560" i="4" a="1"/>
  <c r="R560" i="4" s="1"/>
  <c r="R561" i="4" a="1"/>
  <c r="R561" i="4" s="1"/>
  <c r="R562" i="4" a="1"/>
  <c r="R562" i="4" s="1"/>
  <c r="R563" i="4" a="1"/>
  <c r="R563" i="4" s="1"/>
  <c r="R564" i="4" a="1"/>
  <c r="R564" i="4" s="1"/>
  <c r="R565" i="4" a="1"/>
  <c r="R565" i="4" s="1"/>
  <c r="R566" i="4" a="1"/>
  <c r="R566" i="4" s="1"/>
  <c r="R567" i="4" a="1"/>
  <c r="R567" i="4" s="1"/>
  <c r="R568" i="4" a="1"/>
  <c r="R568" i="4" s="1"/>
  <c r="R569" i="4" a="1"/>
  <c r="R569" i="4" s="1"/>
  <c r="R570" i="4" a="1"/>
  <c r="R570" i="4" s="1"/>
  <c r="R571" i="4" a="1"/>
  <c r="R571" i="4" s="1"/>
  <c r="R572" i="4" a="1"/>
  <c r="R572" i="4" s="1"/>
  <c r="R573" i="4" a="1"/>
  <c r="R573" i="4" s="1"/>
  <c r="R574" i="4" a="1"/>
  <c r="R574" i="4" s="1"/>
  <c r="R575" i="4" a="1"/>
  <c r="R575" i="4" s="1"/>
  <c r="R576" i="4" a="1"/>
  <c r="R576" i="4" s="1"/>
  <c r="R577" i="4" a="1"/>
  <c r="R577" i="4" s="1"/>
  <c r="R578" i="4" a="1"/>
  <c r="R578" i="4" s="1"/>
  <c r="R579" i="4" a="1"/>
  <c r="R579" i="4" s="1"/>
  <c r="R580" i="4" a="1"/>
  <c r="R580" i="4" s="1"/>
  <c r="R581" i="4" a="1"/>
  <c r="R581" i="4" s="1"/>
  <c r="R582" i="4" a="1"/>
  <c r="R582" i="4" s="1"/>
  <c r="R583" i="4" a="1"/>
  <c r="R583" i="4" s="1"/>
  <c r="R584" i="4" a="1"/>
  <c r="R584" i="4" s="1"/>
  <c r="R585" i="4" a="1"/>
  <c r="R585" i="4" s="1"/>
  <c r="R586" i="4" a="1"/>
  <c r="R586" i="4" s="1"/>
  <c r="R587" i="4" a="1"/>
  <c r="R587" i="4" s="1"/>
  <c r="R588" i="4" a="1"/>
  <c r="R588" i="4" s="1"/>
  <c r="R589" i="4" a="1"/>
  <c r="R589" i="4" s="1"/>
  <c r="R590" i="4" a="1"/>
  <c r="R590" i="4" s="1"/>
  <c r="R591" i="4" a="1"/>
  <c r="R591" i="4" s="1"/>
  <c r="R592" i="4" a="1"/>
  <c r="R592" i="4" s="1"/>
  <c r="R593" i="4" a="1"/>
  <c r="R593" i="4" s="1"/>
  <c r="R594" i="4" a="1"/>
  <c r="R594" i="4" s="1"/>
  <c r="R595" i="4" a="1"/>
  <c r="R595" i="4" s="1"/>
  <c r="R596" i="4" a="1"/>
  <c r="R596" i="4" s="1"/>
  <c r="R597" i="4" a="1"/>
  <c r="R597" i="4" s="1"/>
  <c r="R598" i="4" a="1"/>
  <c r="R598" i="4" s="1"/>
  <c r="R599" i="4" a="1"/>
  <c r="R599" i="4" s="1"/>
  <c r="R600" i="4" a="1"/>
  <c r="R600" i="4" s="1"/>
  <c r="R601" i="4" a="1"/>
  <c r="R601" i="4" s="1"/>
  <c r="R602" i="4" a="1"/>
  <c r="R602" i="4" s="1"/>
  <c r="R603" i="4" a="1"/>
  <c r="R603" i="4" s="1"/>
  <c r="R604" i="4" a="1"/>
  <c r="R604" i="4" s="1"/>
  <c r="R605" i="4" a="1"/>
  <c r="R605" i="4" s="1"/>
  <c r="R606" i="4" a="1"/>
  <c r="R606" i="4" s="1"/>
  <c r="R607" i="4" a="1"/>
  <c r="R607" i="4" s="1"/>
  <c r="R608" i="4" a="1"/>
  <c r="R608" i="4" s="1"/>
  <c r="R609" i="4" a="1"/>
  <c r="R609" i="4" s="1"/>
  <c r="R610" i="4" a="1"/>
  <c r="R610" i="4" s="1"/>
  <c r="R611" i="4" a="1"/>
  <c r="R611" i="4" s="1"/>
  <c r="R612" i="4" a="1"/>
  <c r="R612" i="4" s="1"/>
  <c r="R613" i="4" a="1"/>
  <c r="R613" i="4" s="1"/>
  <c r="R614" i="4" a="1"/>
  <c r="R614" i="4" s="1"/>
  <c r="R615" i="4" a="1"/>
  <c r="R615" i="4" s="1"/>
  <c r="R616" i="4" a="1"/>
  <c r="R616" i="4" s="1"/>
  <c r="R617" i="4" a="1"/>
  <c r="R617" i="4" s="1"/>
  <c r="R618" i="4" a="1"/>
  <c r="R618" i="4" s="1"/>
  <c r="R619" i="4" a="1"/>
  <c r="R619" i="4" s="1"/>
  <c r="R620" i="4" a="1"/>
  <c r="R620" i="4" s="1"/>
  <c r="R621" i="4" a="1"/>
  <c r="R621" i="4" s="1"/>
  <c r="R622" i="4" a="1"/>
  <c r="R622" i="4" s="1"/>
  <c r="R623" i="4" a="1"/>
  <c r="R623" i="4" s="1"/>
  <c r="R624" i="4" a="1"/>
  <c r="R624" i="4" s="1"/>
  <c r="R625" i="4" a="1"/>
  <c r="R625" i="4" s="1"/>
  <c r="R626" i="4" a="1"/>
  <c r="R626" i="4" s="1"/>
  <c r="R627" i="4" a="1"/>
  <c r="R627" i="4" s="1"/>
  <c r="R628" i="4" a="1"/>
  <c r="R628" i="4" s="1"/>
  <c r="R629" i="4" a="1"/>
  <c r="R629" i="4" s="1"/>
  <c r="R630" i="4" a="1"/>
  <c r="R630" i="4" s="1"/>
  <c r="R631" i="4" a="1"/>
  <c r="R631" i="4" s="1"/>
  <c r="R632" i="4" a="1"/>
  <c r="R632" i="4" s="1"/>
  <c r="R633" i="4" a="1"/>
  <c r="R633" i="4" s="1"/>
  <c r="R634" i="4" a="1"/>
  <c r="R634" i="4" s="1"/>
  <c r="R635" i="4" a="1"/>
  <c r="R635" i="4" s="1"/>
  <c r="R636" i="4" a="1"/>
  <c r="R636" i="4" s="1"/>
  <c r="R637" i="4" a="1"/>
  <c r="R637" i="4" s="1"/>
  <c r="R638" i="4" a="1"/>
  <c r="R638" i="4" s="1"/>
  <c r="R639" i="4" a="1"/>
  <c r="R639" i="4" s="1"/>
  <c r="R640" i="4" a="1"/>
  <c r="R640" i="4" s="1"/>
  <c r="R641" i="4" a="1"/>
  <c r="R641" i="4" s="1"/>
  <c r="R642" i="4" a="1"/>
  <c r="R642" i="4" s="1"/>
  <c r="R643" i="4" a="1"/>
  <c r="R643" i="4" s="1"/>
  <c r="R644" i="4" a="1"/>
  <c r="R644" i="4" s="1"/>
  <c r="R645" i="4" a="1"/>
  <c r="R645" i="4" s="1"/>
  <c r="R646" i="4" a="1"/>
  <c r="R646" i="4" s="1"/>
  <c r="R647" i="4" a="1"/>
  <c r="R647" i="4" s="1"/>
  <c r="R648" i="4" a="1"/>
  <c r="R648" i="4" s="1"/>
  <c r="R649" i="4" a="1"/>
  <c r="R649" i="4" s="1"/>
  <c r="R650" i="4" a="1"/>
  <c r="R650" i="4" s="1"/>
  <c r="R651" i="4" a="1"/>
  <c r="R651" i="4" s="1"/>
  <c r="R652" i="4" a="1"/>
  <c r="R652" i="4" s="1"/>
  <c r="R653" i="4" a="1"/>
  <c r="R653" i="4" s="1"/>
  <c r="R654" i="4" a="1"/>
  <c r="R654" i="4" s="1"/>
  <c r="R655" i="4" a="1"/>
  <c r="R655" i="4" s="1"/>
  <c r="R656" i="4" a="1"/>
  <c r="R656" i="4" s="1"/>
  <c r="R657" i="4" a="1"/>
  <c r="R657" i="4" s="1"/>
  <c r="R658" i="4" a="1"/>
  <c r="R658" i="4" s="1"/>
  <c r="R659" i="4" a="1"/>
  <c r="R659" i="4" s="1"/>
  <c r="R660" i="4" a="1"/>
  <c r="R660" i="4" s="1"/>
  <c r="R661" i="4" a="1"/>
  <c r="R661" i="4" s="1"/>
  <c r="R662" i="4" a="1"/>
  <c r="R662" i="4" s="1"/>
  <c r="R663" i="4" a="1"/>
  <c r="R663" i="4" s="1"/>
  <c r="R664" i="4" a="1"/>
  <c r="R664" i="4" s="1"/>
  <c r="R665" i="4" a="1"/>
  <c r="R665" i="4" s="1"/>
  <c r="R666" i="4" a="1"/>
  <c r="R666" i="4" s="1"/>
  <c r="R667" i="4" a="1"/>
  <c r="R667" i="4" s="1"/>
  <c r="R668" i="4" a="1"/>
  <c r="R668" i="4" s="1"/>
  <c r="R669" i="4" a="1"/>
  <c r="R669" i="4" s="1"/>
  <c r="R670" i="4" a="1"/>
  <c r="R670" i="4" s="1"/>
  <c r="R671" i="4" a="1"/>
  <c r="R671" i="4" s="1"/>
  <c r="R672" i="4" a="1"/>
  <c r="R672" i="4" s="1"/>
  <c r="R673" i="4" a="1"/>
  <c r="R673" i="4" s="1"/>
  <c r="R674" i="4" a="1"/>
  <c r="R674" i="4" s="1"/>
  <c r="R675" i="4" a="1"/>
  <c r="R675" i="4" s="1"/>
  <c r="R676" i="4" a="1"/>
  <c r="R676" i="4" s="1"/>
  <c r="R677" i="4" a="1"/>
  <c r="R677" i="4" s="1"/>
  <c r="R678" i="4" a="1"/>
  <c r="R678" i="4" s="1"/>
  <c r="R679" i="4" a="1"/>
  <c r="R679" i="4" s="1"/>
  <c r="R681" i="4" a="1"/>
  <c r="R681" i="4" s="1"/>
  <c r="R682" i="4" a="1"/>
  <c r="R682" i="4" s="1"/>
  <c r="R683" i="4" a="1"/>
  <c r="R683" i="4" s="1"/>
  <c r="R684" i="4" a="1"/>
  <c r="R684" i="4" s="1"/>
  <c r="R685" i="4" a="1"/>
  <c r="R685" i="4" s="1"/>
  <c r="R686" i="4" a="1"/>
  <c r="R686" i="4" s="1"/>
  <c r="R687" i="4" a="1"/>
  <c r="R687" i="4" s="1"/>
  <c r="R688" i="4" a="1"/>
  <c r="R688" i="4" s="1"/>
  <c r="R689" i="4" a="1"/>
  <c r="R689" i="4" s="1"/>
  <c r="R690" i="4" a="1"/>
  <c r="R690" i="4" s="1"/>
  <c r="R691" i="4" a="1"/>
  <c r="R691" i="4" s="1"/>
  <c r="R692" i="4" a="1"/>
  <c r="R692" i="4" s="1"/>
  <c r="R693" i="4" a="1"/>
  <c r="R693" i="4" s="1"/>
  <c r="R694" i="4" a="1"/>
  <c r="R694" i="4" s="1"/>
  <c r="R695" i="4" a="1"/>
  <c r="R695" i="4" s="1"/>
  <c r="R696" i="4" a="1"/>
  <c r="R696" i="4" s="1"/>
  <c r="R697" i="4" a="1"/>
  <c r="R697" i="4" s="1"/>
  <c r="R698" i="4" a="1"/>
  <c r="R698" i="4" s="1"/>
  <c r="R699" i="4" a="1"/>
  <c r="R699" i="4" s="1"/>
  <c r="R700" i="4" a="1"/>
  <c r="R700" i="4" s="1"/>
  <c r="R701" i="4" a="1"/>
  <c r="R701" i="4" s="1"/>
  <c r="R702" i="4" a="1"/>
  <c r="R702" i="4" s="1"/>
  <c r="R703" i="4" a="1"/>
  <c r="R703" i="4" s="1"/>
  <c r="R704" i="4" a="1"/>
  <c r="R704" i="4" s="1"/>
  <c r="R705" i="4" a="1"/>
  <c r="R705" i="4" s="1"/>
  <c r="R706" i="4" a="1"/>
  <c r="R706" i="4" s="1"/>
  <c r="R707" i="4" a="1"/>
  <c r="R707" i="4" s="1"/>
  <c r="R708" i="4" a="1"/>
  <c r="R708" i="4" s="1"/>
  <c r="R709" i="4" a="1"/>
  <c r="R709" i="4" s="1"/>
  <c r="R710" i="4" a="1"/>
  <c r="R710" i="4" s="1"/>
  <c r="R711" i="4" a="1"/>
  <c r="R711" i="4" s="1"/>
  <c r="R712" i="4" a="1"/>
  <c r="R712" i="4" s="1"/>
  <c r="R713" i="4" a="1"/>
  <c r="R713" i="4" s="1"/>
  <c r="R714" i="4" a="1"/>
  <c r="R714" i="4" s="1"/>
  <c r="R715" i="4" a="1"/>
  <c r="R715" i="4" s="1"/>
  <c r="R716" i="4" a="1"/>
  <c r="R716" i="4" s="1"/>
  <c r="R717" i="4" a="1"/>
  <c r="R717" i="4" s="1"/>
  <c r="R718" i="4" a="1"/>
  <c r="R718" i="4" s="1"/>
  <c r="R719" i="4" a="1"/>
  <c r="R719" i="4" s="1"/>
  <c r="R720" i="4" a="1"/>
  <c r="R720" i="4" s="1"/>
  <c r="R721" i="4" a="1"/>
  <c r="R721" i="4" s="1"/>
  <c r="R722" i="4" a="1"/>
  <c r="R722" i="4" s="1"/>
  <c r="R723" i="4" a="1"/>
  <c r="R723" i="4" s="1"/>
  <c r="R724" i="4" a="1"/>
  <c r="R724" i="4" s="1"/>
  <c r="R725" i="4" a="1"/>
  <c r="R725" i="4" s="1"/>
  <c r="R726" i="4" a="1"/>
  <c r="R726" i="4" s="1"/>
  <c r="R727" i="4" a="1"/>
  <c r="R727" i="4" s="1"/>
  <c r="R728" i="4" a="1"/>
  <c r="R728" i="4" s="1"/>
  <c r="R729" i="4" a="1"/>
  <c r="R729" i="4" s="1"/>
  <c r="R730" i="4" a="1"/>
  <c r="R730" i="4" s="1"/>
  <c r="R731" i="4" a="1"/>
  <c r="R731" i="4" s="1"/>
  <c r="R732" i="4" a="1"/>
  <c r="R732" i="4" s="1"/>
  <c r="R733" i="4" a="1"/>
  <c r="R733" i="4" s="1"/>
  <c r="R734" i="4" a="1"/>
  <c r="R734" i="4" s="1"/>
  <c r="R735" i="4" a="1"/>
  <c r="R735" i="4" s="1"/>
  <c r="R736" i="4" a="1"/>
  <c r="R736" i="4" s="1"/>
  <c r="R737" i="4" a="1"/>
  <c r="R737" i="4" s="1"/>
  <c r="R738" i="4" a="1"/>
  <c r="R738" i="4" s="1"/>
  <c r="R739" i="4" a="1"/>
  <c r="R739" i="4" s="1"/>
  <c r="R740" i="4" a="1"/>
  <c r="R740" i="4" s="1"/>
  <c r="R741" i="4" a="1"/>
  <c r="R741" i="4" s="1"/>
  <c r="R742" i="4" a="1"/>
  <c r="R742" i="4" s="1"/>
  <c r="R743" i="4" a="1"/>
  <c r="R743" i="4" s="1"/>
  <c r="R744" i="4" a="1"/>
  <c r="R744" i="4" s="1"/>
  <c r="R745" i="4" a="1"/>
  <c r="R745" i="4" s="1"/>
  <c r="R746" i="4" a="1"/>
  <c r="R746" i="4" s="1"/>
  <c r="R747" i="4" a="1"/>
  <c r="R747" i="4" s="1"/>
  <c r="R748" i="4" a="1"/>
  <c r="R748" i="4" s="1"/>
  <c r="R749" i="4" a="1"/>
  <c r="R749" i="4" s="1"/>
  <c r="R750" i="4" a="1"/>
  <c r="R750" i="4" s="1"/>
  <c r="R751" i="4" a="1"/>
  <c r="R751" i="4" s="1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6" i="4"/>
  <c r="Q198" i="4"/>
  <c r="Q214" i="4"/>
  <c r="Q216" i="4"/>
  <c r="Q217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1" i="4"/>
  <c r="Q312" i="4"/>
  <c r="Q314" i="4"/>
  <c r="Q315" i="4"/>
  <c r="Q317" i="4"/>
  <c r="Q318" i="4"/>
  <c r="Q319" i="4"/>
  <c r="Q320" i="4"/>
  <c r="Q321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6" i="4"/>
  <c r="Q457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2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M731" i="4"/>
  <c r="N731" i="4"/>
  <c r="O731" i="4"/>
  <c r="M732" i="4"/>
  <c r="N732" i="4"/>
  <c r="O732" i="4"/>
  <c r="M733" i="4"/>
  <c r="N733" i="4"/>
  <c r="O733" i="4"/>
  <c r="M734" i="4"/>
  <c r="N734" i="4"/>
  <c r="O734" i="4"/>
  <c r="M735" i="4"/>
  <c r="N735" i="4"/>
  <c r="O735" i="4"/>
  <c r="M736" i="4"/>
  <c r="N736" i="4"/>
  <c r="O736" i="4"/>
  <c r="M737" i="4"/>
  <c r="N737" i="4"/>
  <c r="O737" i="4"/>
  <c r="M738" i="4"/>
  <c r="N738" i="4"/>
  <c r="O738" i="4"/>
  <c r="M739" i="4"/>
  <c r="N739" i="4"/>
  <c r="O739" i="4"/>
  <c r="M740" i="4"/>
  <c r="N740" i="4"/>
  <c r="O740" i="4"/>
  <c r="M741" i="4"/>
  <c r="N741" i="4"/>
  <c r="O741" i="4"/>
  <c r="M742" i="4"/>
  <c r="N742" i="4"/>
  <c r="O742" i="4"/>
  <c r="M743" i="4"/>
  <c r="N743" i="4"/>
  <c r="O743" i="4"/>
  <c r="M744" i="4"/>
  <c r="N744" i="4"/>
  <c r="O744" i="4"/>
  <c r="M745" i="4"/>
  <c r="N745" i="4"/>
  <c r="O745" i="4"/>
  <c r="M746" i="4"/>
  <c r="N746" i="4"/>
  <c r="O746" i="4"/>
  <c r="M747" i="4"/>
  <c r="N747" i="4"/>
  <c r="O747" i="4"/>
  <c r="M748" i="4"/>
  <c r="N748" i="4"/>
  <c r="O748" i="4"/>
  <c r="M749" i="4"/>
  <c r="N749" i="4"/>
  <c r="O749" i="4"/>
  <c r="M750" i="4"/>
  <c r="N750" i="4"/>
  <c r="O750" i="4"/>
  <c r="M751" i="4"/>
  <c r="N751" i="4"/>
  <c r="O751" i="4"/>
  <c r="P2" i="4"/>
  <c r="R400" i="4" a="1"/>
  <c r="R399" i="4" a="1"/>
  <c r="R398" i="4" a="1"/>
  <c r="R322" i="4" a="1"/>
  <c r="R316" i="4" a="1"/>
  <c r="R313" i="4" a="1"/>
  <c r="R310" i="4" a="1"/>
  <c r="R63" i="4" a="1"/>
  <c r="R69" i="4" a="1"/>
  <c r="R75" i="4" a="1"/>
  <c r="R64" i="4" a="1"/>
  <c r="R70" i="4" a="1"/>
  <c r="R76" i="4" a="1"/>
  <c r="R65" i="4" a="1"/>
  <c r="R71" i="4" a="1"/>
  <c r="R77" i="4" a="1"/>
  <c r="R66" i="4" a="1"/>
  <c r="R72" i="4" a="1"/>
  <c r="R78" i="4" a="1"/>
  <c r="R67" i="4" a="1"/>
  <c r="R73" i="4" a="1"/>
  <c r="R79" i="4" a="1"/>
  <c r="R68" i="4" a="1"/>
  <c r="R206" i="4" a="1"/>
  <c r="R74" i="4" a="1"/>
  <c r="R197" i="4" a="1"/>
  <c r="R207" i="4" a="1"/>
  <c r="R454" i="4" a="1"/>
  <c r="R80" i="4" a="1"/>
  <c r="R208" i="4" a="1"/>
  <c r="R218" i="4" a="1"/>
  <c r="R455" i="4" a="1"/>
  <c r="R680" i="4" a="1"/>
  <c r="R81" i="4" a="1"/>
  <c r="R199" i="4" a="1"/>
  <c r="R209" i="4" a="1"/>
  <c r="R210" i="4" a="1"/>
  <c r="R200" i="4" a="1"/>
  <c r="R211" i="4" a="1"/>
  <c r="R201" i="4" a="1"/>
  <c r="R458" i="4" a="1"/>
  <c r="R202" i="4" a="1"/>
  <c r="R212" i="4" a="1"/>
  <c r="R203" i="4" a="1"/>
  <c r="R213" i="4" a="1"/>
  <c r="R195" i="4" a="1"/>
  <c r="R204" i="4" a="1"/>
  <c r="R205" i="4" a="1"/>
  <c r="R215" i="4" a="1"/>
  <c r="R62" i="4" a="1"/>
  <c r="B4" i="6" l="1"/>
  <c r="A4" i="6"/>
  <c r="I5" i="6"/>
  <c r="C3" i="6"/>
  <c r="G29" i="5"/>
  <c r="G30" i="5" s="1"/>
  <c r="G31" i="5" s="1"/>
  <c r="R400" i="4"/>
  <c r="S400" i="4" s="1"/>
  <c r="R399" i="4"/>
  <c r="S399" i="4" s="1"/>
  <c r="R398" i="4"/>
  <c r="S398" i="4" s="1"/>
  <c r="R322" i="4"/>
  <c r="S322" i="4" s="1"/>
  <c r="R316" i="4"/>
  <c r="S316" i="4" s="1"/>
  <c r="R313" i="4"/>
  <c r="S313" i="4" s="1"/>
  <c r="R310" i="4"/>
  <c r="S310" i="4" s="1"/>
  <c r="Y9" i="5"/>
  <c r="W9" i="5"/>
  <c r="V9" i="5"/>
  <c r="U9" i="5"/>
  <c r="T9" i="5"/>
  <c r="S9" i="5"/>
  <c r="R9" i="5"/>
  <c r="AC9" i="5"/>
  <c r="Q9" i="5"/>
  <c r="AB9" i="5"/>
  <c r="P9" i="5"/>
  <c r="AA9" i="5"/>
  <c r="Q8" i="5"/>
  <c r="Z8" i="5"/>
  <c r="N8" i="5"/>
  <c r="Y8" i="5"/>
  <c r="M8" i="5"/>
  <c r="X8" i="5"/>
  <c r="L8" i="5"/>
  <c r="W8" i="5"/>
  <c r="K8" i="5"/>
  <c r="V8" i="5"/>
  <c r="J8" i="5"/>
  <c r="T8" i="5"/>
  <c r="H8" i="5"/>
  <c r="S8" i="5"/>
  <c r="Q7" i="5"/>
  <c r="O7" i="5"/>
  <c r="N7" i="5"/>
  <c r="M7" i="5"/>
  <c r="L7" i="5"/>
  <c r="K7" i="5"/>
  <c r="J7" i="5"/>
  <c r="I7" i="5"/>
  <c r="H7" i="5"/>
  <c r="S7" i="5"/>
  <c r="R215" i="4"/>
  <c r="S215" i="4" s="1"/>
  <c r="R205" i="4"/>
  <c r="S205" i="4" s="1"/>
  <c r="R204" i="4"/>
  <c r="S204" i="4" s="1"/>
  <c r="R195" i="4"/>
  <c r="S195" i="4" s="1"/>
  <c r="R213" i="4"/>
  <c r="S213" i="4" s="1"/>
  <c r="R203" i="4"/>
  <c r="S203" i="4" s="1"/>
  <c r="R212" i="4"/>
  <c r="S212" i="4" s="1"/>
  <c r="R202" i="4"/>
  <c r="S202" i="4" s="1"/>
  <c r="R458" i="4"/>
  <c r="S458" i="4" s="1"/>
  <c r="R201" i="4"/>
  <c r="S201" i="4" s="1"/>
  <c r="R211" i="4"/>
  <c r="S211" i="4" s="1"/>
  <c r="R200" i="4"/>
  <c r="S200" i="4" s="1"/>
  <c r="R210" i="4"/>
  <c r="S210" i="4" s="1"/>
  <c r="R209" i="4"/>
  <c r="S209" i="4" s="1"/>
  <c r="R199" i="4"/>
  <c r="S199" i="4" s="1"/>
  <c r="R81" i="4"/>
  <c r="S81" i="4" s="1"/>
  <c r="R680" i="4"/>
  <c r="R455" i="4"/>
  <c r="S455" i="4" s="1"/>
  <c r="R218" i="4"/>
  <c r="S218" i="4" s="1"/>
  <c r="R208" i="4"/>
  <c r="S208" i="4" s="1"/>
  <c r="R80" i="4"/>
  <c r="S80" i="4" s="1"/>
  <c r="R454" i="4"/>
  <c r="S454" i="4" s="1"/>
  <c r="R207" i="4"/>
  <c r="S207" i="4" s="1"/>
  <c r="R197" i="4"/>
  <c r="S197" i="4" s="1"/>
  <c r="R74" i="4"/>
  <c r="S74" i="4" s="1"/>
  <c r="R206" i="4"/>
  <c r="S206" i="4" s="1"/>
  <c r="R68" i="4"/>
  <c r="S68" i="4" s="1"/>
  <c r="R79" i="4"/>
  <c r="S79" i="4" s="1"/>
  <c r="R73" i="4"/>
  <c r="S73" i="4" s="1"/>
  <c r="R67" i="4"/>
  <c r="S67" i="4" s="1"/>
  <c r="R78" i="4"/>
  <c r="S78" i="4" s="1"/>
  <c r="R72" i="4"/>
  <c r="S72" i="4" s="1"/>
  <c r="R66" i="4"/>
  <c r="S66" i="4" s="1"/>
  <c r="R77" i="4"/>
  <c r="S77" i="4" s="1"/>
  <c r="R71" i="4"/>
  <c r="S71" i="4" s="1"/>
  <c r="R65" i="4"/>
  <c r="S65" i="4" s="1"/>
  <c r="R76" i="4"/>
  <c r="S76" i="4" s="1"/>
  <c r="R70" i="4"/>
  <c r="S70" i="4" s="1"/>
  <c r="R64" i="4"/>
  <c r="S64" i="4" s="1"/>
  <c r="R75" i="4"/>
  <c r="S75" i="4" s="1"/>
  <c r="R69" i="4"/>
  <c r="S69" i="4" s="1"/>
  <c r="R63" i="4"/>
  <c r="S63" i="4" s="1"/>
  <c r="R62" i="4"/>
  <c r="S62" i="4" s="1"/>
  <c r="O730" i="4"/>
  <c r="N730" i="4"/>
  <c r="M730" i="4"/>
  <c r="O729" i="4"/>
  <c r="N729" i="4"/>
  <c r="M729" i="4"/>
  <c r="O728" i="4"/>
  <c r="N728" i="4"/>
  <c r="M728" i="4"/>
  <c r="O727" i="4"/>
  <c r="N727" i="4"/>
  <c r="M727" i="4"/>
  <c r="O726" i="4"/>
  <c r="N726" i="4"/>
  <c r="M726" i="4"/>
  <c r="O725" i="4"/>
  <c r="N725" i="4"/>
  <c r="M725" i="4"/>
  <c r="O724" i="4"/>
  <c r="N724" i="4"/>
  <c r="M724" i="4"/>
  <c r="O723" i="4"/>
  <c r="N723" i="4"/>
  <c r="M723" i="4"/>
  <c r="O722" i="4"/>
  <c r="N722" i="4"/>
  <c r="M722" i="4"/>
  <c r="O721" i="4"/>
  <c r="N721" i="4"/>
  <c r="M721" i="4"/>
  <c r="O720" i="4"/>
  <c r="N720" i="4"/>
  <c r="M720" i="4"/>
  <c r="O719" i="4"/>
  <c r="N719" i="4"/>
  <c r="M719" i="4"/>
  <c r="O718" i="4"/>
  <c r="N718" i="4"/>
  <c r="M718" i="4"/>
  <c r="O717" i="4"/>
  <c r="N717" i="4"/>
  <c r="M717" i="4"/>
  <c r="O716" i="4"/>
  <c r="N716" i="4"/>
  <c r="M716" i="4"/>
  <c r="O715" i="4"/>
  <c r="N715" i="4"/>
  <c r="M715" i="4"/>
  <c r="O714" i="4"/>
  <c r="N714" i="4"/>
  <c r="M714" i="4"/>
  <c r="O713" i="4"/>
  <c r="N713" i="4"/>
  <c r="M713" i="4"/>
  <c r="O712" i="4"/>
  <c r="N712" i="4"/>
  <c r="M712" i="4"/>
  <c r="O711" i="4"/>
  <c r="N711" i="4"/>
  <c r="M711" i="4"/>
  <c r="O710" i="4"/>
  <c r="N710" i="4"/>
  <c r="M710" i="4"/>
  <c r="O709" i="4"/>
  <c r="N709" i="4"/>
  <c r="M709" i="4"/>
  <c r="O708" i="4"/>
  <c r="N708" i="4"/>
  <c r="M708" i="4"/>
  <c r="O707" i="4"/>
  <c r="N707" i="4"/>
  <c r="M707" i="4"/>
  <c r="O706" i="4"/>
  <c r="N706" i="4"/>
  <c r="M706" i="4"/>
  <c r="O705" i="4"/>
  <c r="N705" i="4"/>
  <c r="M705" i="4"/>
  <c r="O704" i="4"/>
  <c r="N704" i="4"/>
  <c r="M704" i="4"/>
  <c r="O703" i="4"/>
  <c r="N703" i="4"/>
  <c r="M703" i="4"/>
  <c r="O702" i="4"/>
  <c r="N702" i="4"/>
  <c r="M702" i="4"/>
  <c r="O701" i="4"/>
  <c r="N701" i="4"/>
  <c r="M701" i="4"/>
  <c r="O700" i="4"/>
  <c r="N700" i="4"/>
  <c r="M700" i="4"/>
  <c r="O699" i="4"/>
  <c r="N699" i="4"/>
  <c r="M699" i="4"/>
  <c r="O698" i="4"/>
  <c r="N698" i="4"/>
  <c r="M698" i="4"/>
  <c r="O697" i="4"/>
  <c r="N697" i="4"/>
  <c r="M697" i="4"/>
  <c r="O696" i="4"/>
  <c r="N696" i="4"/>
  <c r="M696" i="4"/>
  <c r="O695" i="4"/>
  <c r="N695" i="4"/>
  <c r="M695" i="4"/>
  <c r="O694" i="4"/>
  <c r="N694" i="4"/>
  <c r="M694" i="4"/>
  <c r="O693" i="4"/>
  <c r="N693" i="4"/>
  <c r="M693" i="4"/>
  <c r="O692" i="4"/>
  <c r="N692" i="4"/>
  <c r="M692" i="4"/>
  <c r="O691" i="4"/>
  <c r="N691" i="4"/>
  <c r="M691" i="4"/>
  <c r="O690" i="4"/>
  <c r="N690" i="4"/>
  <c r="M690" i="4"/>
  <c r="O689" i="4"/>
  <c r="N689" i="4"/>
  <c r="M689" i="4"/>
  <c r="O688" i="4"/>
  <c r="N688" i="4"/>
  <c r="M688" i="4"/>
  <c r="O687" i="4"/>
  <c r="N687" i="4"/>
  <c r="M687" i="4"/>
  <c r="O686" i="4"/>
  <c r="N686" i="4"/>
  <c r="M686" i="4"/>
  <c r="O685" i="4"/>
  <c r="N685" i="4"/>
  <c r="M685" i="4"/>
  <c r="O684" i="4"/>
  <c r="N684" i="4"/>
  <c r="M684" i="4"/>
  <c r="O683" i="4"/>
  <c r="N683" i="4"/>
  <c r="M683" i="4"/>
  <c r="O682" i="4"/>
  <c r="N682" i="4"/>
  <c r="M682" i="4"/>
  <c r="O681" i="4"/>
  <c r="N681" i="4"/>
  <c r="M681" i="4"/>
  <c r="N680" i="4"/>
  <c r="M680" i="4"/>
  <c r="O679" i="4"/>
  <c r="N679" i="4"/>
  <c r="M679" i="4"/>
  <c r="O678" i="4"/>
  <c r="N678" i="4"/>
  <c r="M678" i="4"/>
  <c r="O677" i="4"/>
  <c r="N677" i="4"/>
  <c r="M677" i="4"/>
  <c r="O676" i="4"/>
  <c r="N676" i="4"/>
  <c r="M676" i="4"/>
  <c r="O675" i="4"/>
  <c r="N675" i="4"/>
  <c r="M675" i="4"/>
  <c r="O674" i="4"/>
  <c r="N674" i="4"/>
  <c r="M674" i="4"/>
  <c r="O673" i="4"/>
  <c r="N673" i="4"/>
  <c r="M673" i="4"/>
  <c r="O672" i="4"/>
  <c r="N672" i="4"/>
  <c r="M672" i="4"/>
  <c r="O671" i="4"/>
  <c r="N671" i="4"/>
  <c r="M671" i="4"/>
  <c r="O670" i="4"/>
  <c r="N670" i="4"/>
  <c r="M670" i="4"/>
  <c r="O669" i="4"/>
  <c r="N669" i="4"/>
  <c r="M669" i="4"/>
  <c r="O668" i="4"/>
  <c r="N668" i="4"/>
  <c r="M668" i="4"/>
  <c r="O667" i="4"/>
  <c r="N667" i="4"/>
  <c r="M667" i="4"/>
  <c r="O666" i="4"/>
  <c r="N666" i="4"/>
  <c r="M666" i="4"/>
  <c r="O665" i="4"/>
  <c r="N665" i="4"/>
  <c r="M665" i="4"/>
  <c r="O664" i="4"/>
  <c r="N664" i="4"/>
  <c r="M664" i="4"/>
  <c r="O663" i="4"/>
  <c r="N663" i="4"/>
  <c r="M663" i="4"/>
  <c r="O662" i="4"/>
  <c r="N662" i="4"/>
  <c r="M662" i="4"/>
  <c r="O661" i="4"/>
  <c r="N661" i="4"/>
  <c r="M661" i="4"/>
  <c r="O660" i="4"/>
  <c r="N660" i="4"/>
  <c r="M660" i="4"/>
  <c r="O659" i="4"/>
  <c r="N659" i="4"/>
  <c r="M659" i="4"/>
  <c r="O658" i="4"/>
  <c r="N658" i="4"/>
  <c r="M658" i="4"/>
  <c r="O657" i="4"/>
  <c r="N657" i="4"/>
  <c r="M657" i="4"/>
  <c r="O656" i="4"/>
  <c r="N656" i="4"/>
  <c r="M656" i="4"/>
  <c r="O655" i="4"/>
  <c r="N655" i="4"/>
  <c r="M655" i="4"/>
  <c r="O654" i="4"/>
  <c r="N654" i="4"/>
  <c r="M654" i="4"/>
  <c r="O653" i="4"/>
  <c r="N653" i="4"/>
  <c r="M653" i="4"/>
  <c r="O652" i="4"/>
  <c r="N652" i="4"/>
  <c r="M652" i="4"/>
  <c r="O651" i="4"/>
  <c r="N651" i="4"/>
  <c r="M651" i="4"/>
  <c r="O650" i="4"/>
  <c r="N650" i="4"/>
  <c r="M650" i="4"/>
  <c r="O649" i="4"/>
  <c r="N649" i="4"/>
  <c r="M649" i="4"/>
  <c r="O648" i="4"/>
  <c r="N648" i="4"/>
  <c r="M648" i="4"/>
  <c r="O647" i="4"/>
  <c r="N647" i="4"/>
  <c r="M647" i="4"/>
  <c r="O646" i="4"/>
  <c r="N646" i="4"/>
  <c r="M646" i="4"/>
  <c r="O645" i="4"/>
  <c r="N645" i="4"/>
  <c r="M645" i="4"/>
  <c r="O644" i="4"/>
  <c r="N644" i="4"/>
  <c r="M644" i="4"/>
  <c r="O643" i="4"/>
  <c r="N643" i="4"/>
  <c r="M643" i="4"/>
  <c r="O642" i="4"/>
  <c r="N642" i="4"/>
  <c r="M642" i="4"/>
  <c r="O641" i="4"/>
  <c r="N641" i="4"/>
  <c r="M641" i="4"/>
  <c r="O640" i="4"/>
  <c r="N640" i="4"/>
  <c r="M640" i="4"/>
  <c r="O639" i="4"/>
  <c r="N639" i="4"/>
  <c r="M639" i="4"/>
  <c r="O638" i="4"/>
  <c r="N638" i="4"/>
  <c r="M638" i="4"/>
  <c r="O637" i="4"/>
  <c r="N637" i="4"/>
  <c r="M637" i="4"/>
  <c r="O636" i="4"/>
  <c r="N636" i="4"/>
  <c r="M636" i="4"/>
  <c r="O635" i="4"/>
  <c r="N635" i="4"/>
  <c r="M635" i="4"/>
  <c r="O634" i="4"/>
  <c r="N634" i="4"/>
  <c r="M634" i="4"/>
  <c r="O633" i="4"/>
  <c r="N633" i="4"/>
  <c r="M633" i="4"/>
  <c r="O632" i="4"/>
  <c r="N632" i="4"/>
  <c r="M632" i="4"/>
  <c r="O631" i="4"/>
  <c r="N631" i="4"/>
  <c r="M631" i="4"/>
  <c r="O630" i="4"/>
  <c r="N630" i="4"/>
  <c r="M630" i="4"/>
  <c r="O629" i="4"/>
  <c r="N629" i="4"/>
  <c r="M629" i="4"/>
  <c r="O628" i="4"/>
  <c r="N628" i="4"/>
  <c r="M628" i="4"/>
  <c r="O627" i="4"/>
  <c r="N627" i="4"/>
  <c r="M627" i="4"/>
  <c r="O626" i="4"/>
  <c r="N626" i="4"/>
  <c r="M626" i="4"/>
  <c r="O625" i="4"/>
  <c r="N625" i="4"/>
  <c r="M625" i="4"/>
  <c r="O624" i="4"/>
  <c r="N624" i="4"/>
  <c r="M624" i="4"/>
  <c r="O623" i="4"/>
  <c r="N623" i="4"/>
  <c r="M623" i="4"/>
  <c r="O622" i="4"/>
  <c r="N622" i="4"/>
  <c r="M622" i="4"/>
  <c r="O621" i="4"/>
  <c r="N621" i="4"/>
  <c r="M621" i="4"/>
  <c r="O620" i="4"/>
  <c r="N620" i="4"/>
  <c r="M620" i="4"/>
  <c r="O619" i="4"/>
  <c r="N619" i="4"/>
  <c r="M619" i="4"/>
  <c r="O618" i="4"/>
  <c r="N618" i="4"/>
  <c r="M618" i="4"/>
  <c r="O617" i="4"/>
  <c r="N617" i="4"/>
  <c r="M617" i="4"/>
  <c r="O616" i="4"/>
  <c r="N616" i="4"/>
  <c r="M616" i="4"/>
  <c r="O615" i="4"/>
  <c r="N615" i="4"/>
  <c r="M615" i="4"/>
  <c r="O614" i="4"/>
  <c r="N614" i="4"/>
  <c r="M614" i="4"/>
  <c r="O613" i="4"/>
  <c r="N613" i="4"/>
  <c r="M613" i="4"/>
  <c r="O612" i="4"/>
  <c r="N612" i="4"/>
  <c r="M612" i="4"/>
  <c r="O611" i="4"/>
  <c r="N611" i="4"/>
  <c r="M611" i="4"/>
  <c r="O610" i="4"/>
  <c r="N610" i="4"/>
  <c r="M610" i="4"/>
  <c r="O609" i="4"/>
  <c r="N609" i="4"/>
  <c r="M609" i="4"/>
  <c r="O608" i="4"/>
  <c r="N608" i="4"/>
  <c r="M608" i="4"/>
  <c r="O607" i="4"/>
  <c r="N607" i="4"/>
  <c r="M607" i="4"/>
  <c r="O606" i="4"/>
  <c r="N606" i="4"/>
  <c r="M606" i="4"/>
  <c r="O605" i="4"/>
  <c r="N605" i="4"/>
  <c r="M605" i="4"/>
  <c r="O604" i="4"/>
  <c r="N604" i="4"/>
  <c r="M604" i="4"/>
  <c r="O603" i="4"/>
  <c r="N603" i="4"/>
  <c r="M603" i="4"/>
  <c r="O602" i="4"/>
  <c r="N602" i="4"/>
  <c r="M602" i="4"/>
  <c r="O601" i="4"/>
  <c r="N601" i="4"/>
  <c r="M601" i="4"/>
  <c r="O600" i="4"/>
  <c r="N600" i="4"/>
  <c r="M600" i="4"/>
  <c r="O599" i="4"/>
  <c r="N599" i="4"/>
  <c r="M599" i="4"/>
  <c r="O598" i="4"/>
  <c r="N598" i="4"/>
  <c r="M598" i="4"/>
  <c r="O597" i="4"/>
  <c r="N597" i="4"/>
  <c r="M597" i="4"/>
  <c r="O596" i="4"/>
  <c r="N596" i="4"/>
  <c r="M596" i="4"/>
  <c r="O595" i="4"/>
  <c r="N595" i="4"/>
  <c r="M595" i="4"/>
  <c r="O594" i="4"/>
  <c r="N594" i="4"/>
  <c r="M594" i="4"/>
  <c r="O593" i="4"/>
  <c r="N593" i="4"/>
  <c r="M593" i="4"/>
  <c r="O592" i="4"/>
  <c r="N592" i="4"/>
  <c r="M592" i="4"/>
  <c r="O591" i="4"/>
  <c r="N591" i="4"/>
  <c r="M591" i="4"/>
  <c r="O590" i="4"/>
  <c r="N590" i="4"/>
  <c r="M590" i="4"/>
  <c r="O589" i="4"/>
  <c r="N589" i="4"/>
  <c r="M589" i="4"/>
  <c r="O588" i="4"/>
  <c r="N588" i="4"/>
  <c r="M588" i="4"/>
  <c r="O587" i="4"/>
  <c r="N587" i="4"/>
  <c r="M587" i="4"/>
  <c r="O586" i="4"/>
  <c r="N586" i="4"/>
  <c r="M586" i="4"/>
  <c r="O585" i="4"/>
  <c r="N585" i="4"/>
  <c r="M585" i="4"/>
  <c r="O584" i="4"/>
  <c r="N584" i="4"/>
  <c r="M584" i="4"/>
  <c r="O583" i="4"/>
  <c r="N583" i="4"/>
  <c r="M583" i="4"/>
  <c r="O582" i="4"/>
  <c r="N582" i="4"/>
  <c r="M582" i="4"/>
  <c r="O581" i="4"/>
  <c r="N581" i="4"/>
  <c r="M581" i="4"/>
  <c r="O580" i="4"/>
  <c r="N580" i="4"/>
  <c r="M580" i="4"/>
  <c r="O579" i="4"/>
  <c r="N579" i="4"/>
  <c r="M579" i="4"/>
  <c r="O578" i="4"/>
  <c r="N578" i="4"/>
  <c r="M578" i="4"/>
  <c r="O577" i="4"/>
  <c r="N577" i="4"/>
  <c r="M577" i="4"/>
  <c r="O576" i="4"/>
  <c r="N576" i="4"/>
  <c r="M576" i="4"/>
  <c r="O575" i="4"/>
  <c r="N575" i="4"/>
  <c r="M575" i="4"/>
  <c r="O574" i="4"/>
  <c r="N574" i="4"/>
  <c r="M574" i="4"/>
  <c r="O573" i="4"/>
  <c r="N573" i="4"/>
  <c r="M573" i="4"/>
  <c r="O572" i="4"/>
  <c r="N572" i="4"/>
  <c r="M572" i="4"/>
  <c r="O571" i="4"/>
  <c r="N571" i="4"/>
  <c r="M571" i="4"/>
  <c r="O570" i="4"/>
  <c r="N570" i="4"/>
  <c r="M570" i="4"/>
  <c r="O569" i="4"/>
  <c r="N569" i="4"/>
  <c r="M569" i="4"/>
  <c r="O568" i="4"/>
  <c r="N568" i="4"/>
  <c r="M568" i="4"/>
  <c r="O567" i="4"/>
  <c r="N567" i="4"/>
  <c r="M567" i="4"/>
  <c r="O566" i="4"/>
  <c r="N566" i="4"/>
  <c r="M566" i="4"/>
  <c r="O565" i="4"/>
  <c r="N565" i="4"/>
  <c r="M565" i="4"/>
  <c r="O564" i="4"/>
  <c r="N564" i="4"/>
  <c r="M564" i="4"/>
  <c r="O563" i="4"/>
  <c r="N563" i="4"/>
  <c r="M563" i="4"/>
  <c r="O562" i="4"/>
  <c r="N562" i="4"/>
  <c r="M562" i="4"/>
  <c r="O561" i="4"/>
  <c r="N561" i="4"/>
  <c r="M561" i="4"/>
  <c r="O560" i="4"/>
  <c r="N560" i="4"/>
  <c r="M560" i="4"/>
  <c r="O559" i="4"/>
  <c r="N559" i="4"/>
  <c r="M559" i="4"/>
  <c r="O558" i="4"/>
  <c r="N558" i="4"/>
  <c r="M558" i="4"/>
  <c r="O557" i="4"/>
  <c r="N557" i="4"/>
  <c r="M557" i="4"/>
  <c r="O556" i="4"/>
  <c r="N556" i="4"/>
  <c r="M556" i="4"/>
  <c r="O555" i="4"/>
  <c r="N555" i="4"/>
  <c r="M555" i="4"/>
  <c r="O554" i="4"/>
  <c r="N554" i="4"/>
  <c r="M554" i="4"/>
  <c r="O553" i="4"/>
  <c r="N553" i="4"/>
  <c r="M553" i="4"/>
  <c r="O552" i="4"/>
  <c r="N552" i="4"/>
  <c r="M552" i="4"/>
  <c r="O551" i="4"/>
  <c r="N551" i="4"/>
  <c r="M551" i="4"/>
  <c r="O550" i="4"/>
  <c r="N550" i="4"/>
  <c r="M550" i="4"/>
  <c r="O549" i="4"/>
  <c r="N549" i="4"/>
  <c r="M549" i="4"/>
  <c r="O548" i="4"/>
  <c r="N548" i="4"/>
  <c r="M548" i="4"/>
  <c r="O547" i="4"/>
  <c r="N547" i="4"/>
  <c r="M547" i="4"/>
  <c r="O546" i="4"/>
  <c r="N546" i="4"/>
  <c r="M546" i="4"/>
  <c r="O545" i="4"/>
  <c r="N545" i="4"/>
  <c r="M545" i="4"/>
  <c r="O544" i="4"/>
  <c r="N544" i="4"/>
  <c r="M544" i="4"/>
  <c r="O543" i="4"/>
  <c r="N543" i="4"/>
  <c r="M543" i="4"/>
  <c r="O542" i="4"/>
  <c r="N542" i="4"/>
  <c r="M542" i="4"/>
  <c r="O541" i="4"/>
  <c r="N541" i="4"/>
  <c r="M541" i="4"/>
  <c r="O540" i="4"/>
  <c r="N540" i="4"/>
  <c r="M540" i="4"/>
  <c r="O539" i="4"/>
  <c r="N539" i="4"/>
  <c r="M539" i="4"/>
  <c r="O538" i="4"/>
  <c r="N538" i="4"/>
  <c r="M538" i="4"/>
  <c r="O537" i="4"/>
  <c r="N537" i="4"/>
  <c r="M537" i="4"/>
  <c r="O536" i="4"/>
  <c r="N536" i="4"/>
  <c r="M536" i="4"/>
  <c r="O535" i="4"/>
  <c r="N535" i="4"/>
  <c r="M535" i="4"/>
  <c r="O534" i="4"/>
  <c r="N534" i="4"/>
  <c r="M534" i="4"/>
  <c r="O533" i="4"/>
  <c r="N533" i="4"/>
  <c r="M533" i="4"/>
  <c r="O532" i="4"/>
  <c r="N532" i="4"/>
  <c r="M532" i="4"/>
  <c r="O531" i="4"/>
  <c r="N531" i="4"/>
  <c r="M531" i="4"/>
  <c r="O530" i="4"/>
  <c r="N530" i="4"/>
  <c r="M530" i="4"/>
  <c r="O529" i="4"/>
  <c r="N529" i="4"/>
  <c r="M529" i="4"/>
  <c r="O528" i="4"/>
  <c r="N528" i="4"/>
  <c r="M528" i="4"/>
  <c r="O527" i="4"/>
  <c r="N527" i="4"/>
  <c r="M527" i="4"/>
  <c r="O526" i="4"/>
  <c r="N526" i="4"/>
  <c r="M526" i="4"/>
  <c r="O525" i="4"/>
  <c r="N525" i="4"/>
  <c r="M525" i="4"/>
  <c r="O524" i="4"/>
  <c r="N524" i="4"/>
  <c r="M524" i="4"/>
  <c r="O523" i="4"/>
  <c r="N523" i="4"/>
  <c r="M523" i="4"/>
  <c r="O522" i="4"/>
  <c r="N522" i="4"/>
  <c r="M522" i="4"/>
  <c r="O521" i="4"/>
  <c r="N521" i="4"/>
  <c r="M521" i="4"/>
  <c r="O520" i="4"/>
  <c r="N520" i="4"/>
  <c r="M520" i="4"/>
  <c r="O519" i="4"/>
  <c r="N519" i="4"/>
  <c r="M519" i="4"/>
  <c r="O518" i="4"/>
  <c r="N518" i="4"/>
  <c r="M518" i="4"/>
  <c r="O517" i="4"/>
  <c r="N517" i="4"/>
  <c r="M517" i="4"/>
  <c r="O516" i="4"/>
  <c r="N516" i="4"/>
  <c r="M516" i="4"/>
  <c r="O515" i="4"/>
  <c r="N515" i="4"/>
  <c r="M515" i="4"/>
  <c r="O514" i="4"/>
  <c r="N514" i="4"/>
  <c r="M514" i="4"/>
  <c r="O513" i="4"/>
  <c r="N513" i="4"/>
  <c r="M513" i="4"/>
  <c r="O512" i="4"/>
  <c r="N512" i="4"/>
  <c r="M512" i="4"/>
  <c r="O511" i="4"/>
  <c r="N511" i="4"/>
  <c r="M511" i="4"/>
  <c r="O510" i="4"/>
  <c r="N510" i="4"/>
  <c r="M510" i="4"/>
  <c r="O509" i="4"/>
  <c r="N509" i="4"/>
  <c r="M509" i="4"/>
  <c r="O508" i="4"/>
  <c r="N508" i="4"/>
  <c r="M508" i="4"/>
  <c r="O507" i="4"/>
  <c r="N507" i="4"/>
  <c r="M507" i="4"/>
  <c r="O506" i="4"/>
  <c r="N506" i="4"/>
  <c r="M506" i="4"/>
  <c r="O505" i="4"/>
  <c r="N505" i="4"/>
  <c r="M505" i="4"/>
  <c r="O504" i="4"/>
  <c r="N504" i="4"/>
  <c r="M504" i="4"/>
  <c r="O503" i="4"/>
  <c r="N503" i="4"/>
  <c r="M503" i="4"/>
  <c r="O502" i="4"/>
  <c r="N502" i="4"/>
  <c r="M502" i="4"/>
  <c r="O501" i="4"/>
  <c r="N501" i="4"/>
  <c r="M501" i="4"/>
  <c r="O500" i="4"/>
  <c r="N500" i="4"/>
  <c r="M500" i="4"/>
  <c r="O499" i="4"/>
  <c r="N499" i="4"/>
  <c r="M499" i="4"/>
  <c r="O498" i="4"/>
  <c r="N498" i="4"/>
  <c r="M498" i="4"/>
  <c r="O497" i="4"/>
  <c r="N497" i="4"/>
  <c r="M497" i="4"/>
  <c r="O496" i="4"/>
  <c r="N496" i="4"/>
  <c r="M496" i="4"/>
  <c r="O495" i="4"/>
  <c r="N495" i="4"/>
  <c r="M495" i="4"/>
  <c r="O494" i="4"/>
  <c r="N494" i="4"/>
  <c r="M494" i="4"/>
  <c r="O493" i="4"/>
  <c r="N493" i="4"/>
  <c r="M493" i="4"/>
  <c r="O492" i="4"/>
  <c r="N492" i="4"/>
  <c r="M492" i="4"/>
  <c r="O491" i="4"/>
  <c r="N491" i="4"/>
  <c r="M491" i="4"/>
  <c r="O490" i="4"/>
  <c r="N490" i="4"/>
  <c r="M490" i="4"/>
  <c r="O489" i="4"/>
  <c r="N489" i="4"/>
  <c r="M489" i="4"/>
  <c r="O488" i="4"/>
  <c r="N488" i="4"/>
  <c r="M488" i="4"/>
  <c r="O487" i="4"/>
  <c r="N487" i="4"/>
  <c r="M487" i="4"/>
  <c r="O486" i="4"/>
  <c r="N486" i="4"/>
  <c r="M486" i="4"/>
  <c r="O485" i="4"/>
  <c r="N485" i="4"/>
  <c r="M485" i="4"/>
  <c r="O484" i="4"/>
  <c r="N484" i="4"/>
  <c r="M484" i="4"/>
  <c r="O483" i="4"/>
  <c r="N483" i="4"/>
  <c r="M483" i="4"/>
  <c r="O482" i="4"/>
  <c r="N482" i="4"/>
  <c r="M482" i="4"/>
  <c r="O481" i="4"/>
  <c r="N481" i="4"/>
  <c r="M481" i="4"/>
  <c r="O480" i="4"/>
  <c r="N480" i="4"/>
  <c r="M480" i="4"/>
  <c r="O479" i="4"/>
  <c r="N479" i="4"/>
  <c r="M479" i="4"/>
  <c r="O478" i="4"/>
  <c r="N478" i="4"/>
  <c r="M478" i="4"/>
  <c r="O477" i="4"/>
  <c r="N477" i="4"/>
  <c r="M477" i="4"/>
  <c r="O476" i="4"/>
  <c r="N476" i="4"/>
  <c r="M476" i="4"/>
  <c r="O475" i="4"/>
  <c r="N475" i="4"/>
  <c r="M475" i="4"/>
  <c r="O474" i="4"/>
  <c r="N474" i="4"/>
  <c r="M474" i="4"/>
  <c r="O473" i="4"/>
  <c r="N473" i="4"/>
  <c r="M473" i="4"/>
  <c r="O472" i="4"/>
  <c r="N472" i="4"/>
  <c r="M472" i="4"/>
  <c r="O471" i="4"/>
  <c r="N471" i="4"/>
  <c r="M471" i="4"/>
  <c r="O470" i="4"/>
  <c r="N470" i="4"/>
  <c r="M470" i="4"/>
  <c r="O469" i="4"/>
  <c r="N469" i="4"/>
  <c r="M469" i="4"/>
  <c r="O468" i="4"/>
  <c r="N468" i="4"/>
  <c r="M468" i="4"/>
  <c r="O467" i="4"/>
  <c r="N467" i="4"/>
  <c r="M467" i="4"/>
  <c r="O466" i="4"/>
  <c r="N466" i="4"/>
  <c r="M466" i="4"/>
  <c r="O465" i="4"/>
  <c r="N465" i="4"/>
  <c r="M465" i="4"/>
  <c r="O464" i="4"/>
  <c r="N464" i="4"/>
  <c r="M464" i="4"/>
  <c r="O463" i="4"/>
  <c r="N463" i="4"/>
  <c r="M463" i="4"/>
  <c r="O462" i="4"/>
  <c r="N462" i="4"/>
  <c r="M462" i="4"/>
  <c r="O461" i="4"/>
  <c r="N461" i="4"/>
  <c r="M461" i="4"/>
  <c r="O460" i="4"/>
  <c r="N460" i="4"/>
  <c r="M460" i="4"/>
  <c r="O459" i="4"/>
  <c r="N459" i="4"/>
  <c r="M459" i="4"/>
  <c r="O458" i="4"/>
  <c r="N458" i="4"/>
  <c r="M458" i="4"/>
  <c r="O457" i="4"/>
  <c r="N457" i="4"/>
  <c r="M457" i="4"/>
  <c r="O456" i="4"/>
  <c r="N456" i="4"/>
  <c r="M456" i="4"/>
  <c r="O455" i="4"/>
  <c r="N455" i="4"/>
  <c r="M455" i="4"/>
  <c r="O454" i="4"/>
  <c r="N454" i="4"/>
  <c r="M454" i="4"/>
  <c r="O453" i="4"/>
  <c r="N453" i="4"/>
  <c r="M453" i="4"/>
  <c r="O452" i="4"/>
  <c r="N452" i="4"/>
  <c r="M452" i="4"/>
  <c r="O451" i="4"/>
  <c r="N451" i="4"/>
  <c r="M451" i="4"/>
  <c r="O450" i="4"/>
  <c r="N450" i="4"/>
  <c r="M450" i="4"/>
  <c r="O449" i="4"/>
  <c r="N449" i="4"/>
  <c r="M449" i="4"/>
  <c r="O448" i="4"/>
  <c r="N448" i="4"/>
  <c r="M448" i="4"/>
  <c r="O447" i="4"/>
  <c r="N447" i="4"/>
  <c r="M447" i="4"/>
  <c r="O446" i="4"/>
  <c r="N446" i="4"/>
  <c r="M446" i="4"/>
  <c r="O445" i="4"/>
  <c r="N445" i="4"/>
  <c r="M445" i="4"/>
  <c r="O444" i="4"/>
  <c r="N444" i="4"/>
  <c r="M444" i="4"/>
  <c r="O443" i="4"/>
  <c r="N443" i="4"/>
  <c r="M443" i="4"/>
  <c r="O442" i="4"/>
  <c r="N442" i="4"/>
  <c r="M442" i="4"/>
  <c r="O441" i="4"/>
  <c r="N441" i="4"/>
  <c r="M441" i="4"/>
  <c r="O440" i="4"/>
  <c r="N440" i="4"/>
  <c r="M440" i="4"/>
  <c r="O439" i="4"/>
  <c r="N439" i="4"/>
  <c r="M439" i="4"/>
  <c r="O438" i="4"/>
  <c r="N438" i="4"/>
  <c r="M438" i="4"/>
  <c r="O437" i="4"/>
  <c r="N437" i="4"/>
  <c r="M437" i="4"/>
  <c r="O436" i="4"/>
  <c r="N436" i="4"/>
  <c r="M436" i="4"/>
  <c r="O435" i="4"/>
  <c r="N435" i="4"/>
  <c r="M435" i="4"/>
  <c r="O434" i="4"/>
  <c r="N434" i="4"/>
  <c r="M434" i="4"/>
  <c r="O433" i="4"/>
  <c r="N433" i="4"/>
  <c r="M433" i="4"/>
  <c r="O432" i="4"/>
  <c r="N432" i="4"/>
  <c r="M432" i="4"/>
  <c r="O431" i="4"/>
  <c r="N431" i="4"/>
  <c r="M431" i="4"/>
  <c r="O430" i="4"/>
  <c r="N430" i="4"/>
  <c r="M430" i="4"/>
  <c r="O429" i="4"/>
  <c r="N429" i="4"/>
  <c r="M429" i="4"/>
  <c r="O428" i="4"/>
  <c r="N428" i="4"/>
  <c r="M428" i="4"/>
  <c r="O427" i="4"/>
  <c r="N427" i="4"/>
  <c r="M427" i="4"/>
  <c r="O426" i="4"/>
  <c r="N426" i="4"/>
  <c r="M426" i="4"/>
  <c r="O425" i="4"/>
  <c r="N425" i="4"/>
  <c r="M425" i="4"/>
  <c r="O424" i="4"/>
  <c r="N424" i="4"/>
  <c r="M424" i="4"/>
  <c r="O423" i="4"/>
  <c r="N423" i="4"/>
  <c r="M423" i="4"/>
  <c r="O422" i="4"/>
  <c r="N422" i="4"/>
  <c r="M422" i="4"/>
  <c r="O421" i="4"/>
  <c r="N421" i="4"/>
  <c r="M421" i="4"/>
  <c r="O420" i="4"/>
  <c r="N420" i="4"/>
  <c r="M420" i="4"/>
  <c r="O419" i="4"/>
  <c r="N419" i="4"/>
  <c r="M419" i="4"/>
  <c r="O418" i="4"/>
  <c r="N418" i="4"/>
  <c r="M418" i="4"/>
  <c r="O417" i="4"/>
  <c r="N417" i="4"/>
  <c r="M417" i="4"/>
  <c r="O416" i="4"/>
  <c r="N416" i="4"/>
  <c r="M416" i="4"/>
  <c r="O415" i="4"/>
  <c r="N415" i="4"/>
  <c r="M415" i="4"/>
  <c r="O414" i="4"/>
  <c r="N414" i="4"/>
  <c r="M414" i="4"/>
  <c r="O413" i="4"/>
  <c r="N413" i="4"/>
  <c r="M413" i="4"/>
  <c r="O412" i="4"/>
  <c r="N412" i="4"/>
  <c r="M412" i="4"/>
  <c r="O411" i="4"/>
  <c r="N411" i="4"/>
  <c r="M411" i="4"/>
  <c r="O410" i="4"/>
  <c r="N410" i="4"/>
  <c r="M410" i="4"/>
  <c r="O409" i="4"/>
  <c r="N409" i="4"/>
  <c r="M409" i="4"/>
  <c r="O408" i="4"/>
  <c r="N408" i="4"/>
  <c r="M408" i="4"/>
  <c r="O407" i="4"/>
  <c r="N407" i="4"/>
  <c r="M407" i="4"/>
  <c r="O406" i="4"/>
  <c r="N406" i="4"/>
  <c r="M406" i="4"/>
  <c r="O405" i="4"/>
  <c r="N405" i="4"/>
  <c r="M405" i="4"/>
  <c r="O404" i="4"/>
  <c r="N404" i="4"/>
  <c r="M404" i="4"/>
  <c r="O403" i="4"/>
  <c r="N403" i="4"/>
  <c r="M403" i="4"/>
  <c r="O402" i="4"/>
  <c r="N402" i="4"/>
  <c r="M402" i="4"/>
  <c r="O401" i="4"/>
  <c r="N401" i="4"/>
  <c r="M401" i="4"/>
  <c r="N400" i="4"/>
  <c r="M400" i="4"/>
  <c r="N399" i="4"/>
  <c r="M399" i="4"/>
  <c r="N398" i="4"/>
  <c r="M398" i="4"/>
  <c r="O397" i="4"/>
  <c r="N397" i="4"/>
  <c r="M397" i="4"/>
  <c r="O396" i="4"/>
  <c r="N396" i="4"/>
  <c r="M396" i="4"/>
  <c r="O395" i="4"/>
  <c r="N395" i="4"/>
  <c r="M395" i="4"/>
  <c r="O394" i="4"/>
  <c r="N394" i="4"/>
  <c r="M394" i="4"/>
  <c r="O393" i="4"/>
  <c r="N393" i="4"/>
  <c r="M393" i="4"/>
  <c r="O392" i="4"/>
  <c r="N392" i="4"/>
  <c r="M392" i="4"/>
  <c r="O391" i="4"/>
  <c r="N391" i="4"/>
  <c r="M391" i="4"/>
  <c r="O390" i="4"/>
  <c r="N390" i="4"/>
  <c r="M390" i="4"/>
  <c r="O389" i="4"/>
  <c r="N389" i="4"/>
  <c r="M389" i="4"/>
  <c r="O388" i="4"/>
  <c r="N388" i="4"/>
  <c r="M388" i="4"/>
  <c r="O387" i="4"/>
  <c r="N387" i="4"/>
  <c r="M387" i="4"/>
  <c r="O386" i="4"/>
  <c r="N386" i="4"/>
  <c r="M386" i="4"/>
  <c r="O385" i="4"/>
  <c r="N385" i="4"/>
  <c r="M385" i="4"/>
  <c r="O384" i="4"/>
  <c r="N384" i="4"/>
  <c r="M384" i="4"/>
  <c r="O383" i="4"/>
  <c r="N383" i="4"/>
  <c r="M383" i="4"/>
  <c r="O382" i="4"/>
  <c r="N382" i="4"/>
  <c r="M382" i="4"/>
  <c r="O381" i="4"/>
  <c r="N381" i="4"/>
  <c r="M381" i="4"/>
  <c r="O380" i="4"/>
  <c r="N380" i="4"/>
  <c r="M380" i="4"/>
  <c r="O379" i="4"/>
  <c r="N379" i="4"/>
  <c r="M379" i="4"/>
  <c r="O378" i="4"/>
  <c r="N378" i="4"/>
  <c r="M378" i="4"/>
  <c r="O377" i="4"/>
  <c r="N377" i="4"/>
  <c r="M377" i="4"/>
  <c r="O376" i="4"/>
  <c r="N376" i="4"/>
  <c r="M376" i="4"/>
  <c r="O375" i="4"/>
  <c r="N375" i="4"/>
  <c r="M375" i="4"/>
  <c r="O374" i="4"/>
  <c r="N374" i="4"/>
  <c r="M374" i="4"/>
  <c r="O373" i="4"/>
  <c r="N373" i="4"/>
  <c r="M373" i="4"/>
  <c r="O372" i="4"/>
  <c r="N372" i="4"/>
  <c r="M372" i="4"/>
  <c r="O371" i="4"/>
  <c r="N371" i="4"/>
  <c r="M371" i="4"/>
  <c r="O370" i="4"/>
  <c r="N370" i="4"/>
  <c r="M370" i="4"/>
  <c r="O369" i="4"/>
  <c r="N369" i="4"/>
  <c r="M369" i="4"/>
  <c r="O368" i="4"/>
  <c r="N368" i="4"/>
  <c r="M368" i="4"/>
  <c r="O367" i="4"/>
  <c r="N367" i="4"/>
  <c r="M367" i="4"/>
  <c r="O366" i="4"/>
  <c r="N366" i="4"/>
  <c r="M366" i="4"/>
  <c r="O365" i="4"/>
  <c r="N365" i="4"/>
  <c r="M365" i="4"/>
  <c r="O364" i="4"/>
  <c r="N364" i="4"/>
  <c r="M364" i="4"/>
  <c r="O363" i="4"/>
  <c r="N363" i="4"/>
  <c r="M363" i="4"/>
  <c r="O362" i="4"/>
  <c r="N362" i="4"/>
  <c r="M362" i="4"/>
  <c r="O361" i="4"/>
  <c r="N361" i="4"/>
  <c r="M361" i="4"/>
  <c r="O360" i="4"/>
  <c r="N360" i="4"/>
  <c r="M360" i="4"/>
  <c r="O359" i="4"/>
  <c r="N359" i="4"/>
  <c r="M359" i="4"/>
  <c r="O358" i="4"/>
  <c r="N358" i="4"/>
  <c r="M358" i="4"/>
  <c r="O357" i="4"/>
  <c r="N357" i="4"/>
  <c r="M357" i="4"/>
  <c r="O356" i="4"/>
  <c r="N356" i="4"/>
  <c r="M356" i="4"/>
  <c r="O355" i="4"/>
  <c r="N355" i="4"/>
  <c r="M355" i="4"/>
  <c r="O354" i="4"/>
  <c r="N354" i="4"/>
  <c r="M354" i="4"/>
  <c r="O353" i="4"/>
  <c r="N353" i="4"/>
  <c r="M353" i="4"/>
  <c r="O352" i="4"/>
  <c r="N352" i="4"/>
  <c r="M352" i="4"/>
  <c r="O351" i="4"/>
  <c r="N351" i="4"/>
  <c r="M351" i="4"/>
  <c r="O350" i="4"/>
  <c r="N350" i="4"/>
  <c r="M350" i="4"/>
  <c r="O349" i="4"/>
  <c r="N349" i="4"/>
  <c r="M349" i="4"/>
  <c r="O348" i="4"/>
  <c r="N348" i="4"/>
  <c r="M348" i="4"/>
  <c r="O347" i="4"/>
  <c r="N347" i="4"/>
  <c r="M347" i="4"/>
  <c r="O346" i="4"/>
  <c r="N346" i="4"/>
  <c r="M346" i="4"/>
  <c r="O345" i="4"/>
  <c r="N345" i="4"/>
  <c r="M345" i="4"/>
  <c r="O344" i="4"/>
  <c r="N344" i="4"/>
  <c r="M344" i="4"/>
  <c r="O343" i="4"/>
  <c r="N343" i="4"/>
  <c r="M343" i="4"/>
  <c r="O342" i="4"/>
  <c r="N342" i="4"/>
  <c r="M342" i="4"/>
  <c r="O341" i="4"/>
  <c r="N341" i="4"/>
  <c r="M341" i="4"/>
  <c r="O340" i="4"/>
  <c r="N340" i="4"/>
  <c r="M340" i="4"/>
  <c r="O339" i="4"/>
  <c r="N339" i="4"/>
  <c r="M339" i="4"/>
  <c r="O338" i="4"/>
  <c r="N338" i="4"/>
  <c r="M338" i="4"/>
  <c r="O337" i="4"/>
  <c r="N337" i="4"/>
  <c r="M337" i="4"/>
  <c r="O336" i="4"/>
  <c r="N336" i="4"/>
  <c r="M336" i="4"/>
  <c r="O335" i="4"/>
  <c r="N335" i="4"/>
  <c r="M335" i="4"/>
  <c r="O334" i="4"/>
  <c r="N334" i="4"/>
  <c r="M334" i="4"/>
  <c r="O333" i="4"/>
  <c r="N333" i="4"/>
  <c r="M333" i="4"/>
  <c r="O332" i="4"/>
  <c r="N332" i="4"/>
  <c r="M332" i="4"/>
  <c r="O331" i="4"/>
  <c r="N331" i="4"/>
  <c r="M331" i="4"/>
  <c r="O330" i="4"/>
  <c r="N330" i="4"/>
  <c r="M330" i="4"/>
  <c r="O329" i="4"/>
  <c r="N329" i="4"/>
  <c r="M329" i="4"/>
  <c r="O328" i="4"/>
  <c r="N328" i="4"/>
  <c r="M328" i="4"/>
  <c r="O327" i="4"/>
  <c r="N327" i="4"/>
  <c r="M327" i="4"/>
  <c r="O326" i="4"/>
  <c r="N326" i="4"/>
  <c r="M326" i="4"/>
  <c r="O325" i="4"/>
  <c r="N325" i="4"/>
  <c r="M325" i="4"/>
  <c r="O324" i="4"/>
  <c r="N324" i="4"/>
  <c r="M324" i="4"/>
  <c r="O323" i="4"/>
  <c r="N323" i="4"/>
  <c r="M323" i="4"/>
  <c r="N322" i="4"/>
  <c r="M322" i="4"/>
  <c r="O321" i="4"/>
  <c r="N321" i="4"/>
  <c r="M321" i="4"/>
  <c r="O320" i="4"/>
  <c r="N320" i="4"/>
  <c r="M320" i="4"/>
  <c r="O319" i="4"/>
  <c r="N319" i="4"/>
  <c r="M319" i="4"/>
  <c r="O318" i="4"/>
  <c r="N318" i="4"/>
  <c r="M318" i="4"/>
  <c r="O317" i="4"/>
  <c r="N317" i="4"/>
  <c r="M317" i="4"/>
  <c r="N316" i="4"/>
  <c r="M316" i="4"/>
  <c r="O315" i="4"/>
  <c r="N315" i="4"/>
  <c r="M315" i="4"/>
  <c r="O314" i="4"/>
  <c r="N314" i="4"/>
  <c r="M314" i="4"/>
  <c r="N313" i="4"/>
  <c r="M313" i="4"/>
  <c r="O312" i="4"/>
  <c r="N312" i="4"/>
  <c r="M312" i="4"/>
  <c r="O311" i="4"/>
  <c r="N311" i="4"/>
  <c r="M311" i="4"/>
  <c r="N310" i="4"/>
  <c r="M310" i="4"/>
  <c r="O309" i="4"/>
  <c r="N309" i="4"/>
  <c r="M309" i="4"/>
  <c r="O308" i="4"/>
  <c r="N308" i="4"/>
  <c r="M308" i="4"/>
  <c r="O307" i="4"/>
  <c r="N307" i="4"/>
  <c r="M307" i="4"/>
  <c r="O306" i="4"/>
  <c r="N306" i="4"/>
  <c r="M306" i="4"/>
  <c r="O305" i="4"/>
  <c r="N305" i="4"/>
  <c r="M305" i="4"/>
  <c r="O304" i="4"/>
  <c r="N304" i="4"/>
  <c r="M304" i="4"/>
  <c r="O303" i="4"/>
  <c r="N303" i="4"/>
  <c r="M303" i="4"/>
  <c r="O302" i="4"/>
  <c r="N302" i="4"/>
  <c r="M302" i="4"/>
  <c r="O301" i="4"/>
  <c r="N301" i="4"/>
  <c r="M301" i="4"/>
  <c r="O300" i="4"/>
  <c r="N300" i="4"/>
  <c r="M300" i="4"/>
  <c r="O299" i="4"/>
  <c r="N299" i="4"/>
  <c r="M299" i="4"/>
  <c r="O298" i="4"/>
  <c r="N298" i="4"/>
  <c r="M298" i="4"/>
  <c r="O297" i="4"/>
  <c r="N297" i="4"/>
  <c r="M297" i="4"/>
  <c r="O296" i="4"/>
  <c r="N296" i="4"/>
  <c r="M296" i="4"/>
  <c r="O295" i="4"/>
  <c r="N295" i="4"/>
  <c r="M295" i="4"/>
  <c r="O294" i="4"/>
  <c r="N294" i="4"/>
  <c r="M294" i="4"/>
  <c r="O293" i="4"/>
  <c r="N293" i="4"/>
  <c r="M293" i="4"/>
  <c r="O292" i="4"/>
  <c r="N292" i="4"/>
  <c r="M292" i="4"/>
  <c r="O291" i="4"/>
  <c r="N291" i="4"/>
  <c r="M291" i="4"/>
  <c r="O290" i="4"/>
  <c r="N290" i="4"/>
  <c r="M290" i="4"/>
  <c r="O289" i="4"/>
  <c r="N289" i="4"/>
  <c r="M289" i="4"/>
  <c r="O288" i="4"/>
  <c r="N288" i="4"/>
  <c r="M288" i="4"/>
  <c r="O287" i="4"/>
  <c r="N287" i="4"/>
  <c r="M287" i="4"/>
  <c r="O286" i="4"/>
  <c r="N286" i="4"/>
  <c r="M286" i="4"/>
  <c r="O285" i="4"/>
  <c r="N285" i="4"/>
  <c r="M285" i="4"/>
  <c r="O284" i="4"/>
  <c r="N284" i="4"/>
  <c r="M284" i="4"/>
  <c r="O283" i="4"/>
  <c r="N283" i="4"/>
  <c r="M283" i="4"/>
  <c r="O282" i="4"/>
  <c r="N282" i="4"/>
  <c r="M282" i="4"/>
  <c r="O281" i="4"/>
  <c r="N281" i="4"/>
  <c r="M281" i="4"/>
  <c r="O280" i="4"/>
  <c r="N280" i="4"/>
  <c r="M280" i="4"/>
  <c r="O279" i="4"/>
  <c r="N279" i="4"/>
  <c r="M279" i="4"/>
  <c r="O278" i="4"/>
  <c r="N278" i="4"/>
  <c r="M278" i="4"/>
  <c r="O277" i="4"/>
  <c r="N277" i="4"/>
  <c r="M277" i="4"/>
  <c r="O276" i="4"/>
  <c r="N276" i="4"/>
  <c r="M276" i="4"/>
  <c r="O275" i="4"/>
  <c r="N275" i="4"/>
  <c r="M275" i="4"/>
  <c r="O274" i="4"/>
  <c r="N274" i="4"/>
  <c r="M274" i="4"/>
  <c r="O273" i="4"/>
  <c r="N273" i="4"/>
  <c r="M273" i="4"/>
  <c r="O272" i="4"/>
  <c r="N272" i="4"/>
  <c r="M272" i="4"/>
  <c r="O271" i="4"/>
  <c r="N271" i="4"/>
  <c r="M271" i="4"/>
  <c r="O270" i="4"/>
  <c r="N270" i="4"/>
  <c r="M270" i="4"/>
  <c r="O269" i="4"/>
  <c r="N269" i="4"/>
  <c r="M269" i="4"/>
  <c r="O268" i="4"/>
  <c r="N268" i="4"/>
  <c r="M268" i="4"/>
  <c r="O267" i="4"/>
  <c r="N267" i="4"/>
  <c r="M267" i="4"/>
  <c r="O266" i="4"/>
  <c r="N266" i="4"/>
  <c r="M266" i="4"/>
  <c r="O265" i="4"/>
  <c r="N265" i="4"/>
  <c r="M265" i="4"/>
  <c r="O264" i="4"/>
  <c r="N264" i="4"/>
  <c r="M264" i="4"/>
  <c r="O263" i="4"/>
  <c r="N263" i="4"/>
  <c r="M263" i="4"/>
  <c r="O262" i="4"/>
  <c r="N262" i="4"/>
  <c r="M262" i="4"/>
  <c r="O261" i="4"/>
  <c r="N261" i="4"/>
  <c r="M261" i="4"/>
  <c r="O260" i="4"/>
  <c r="N260" i="4"/>
  <c r="M260" i="4"/>
  <c r="O259" i="4"/>
  <c r="N259" i="4"/>
  <c r="M259" i="4"/>
  <c r="O258" i="4"/>
  <c r="N258" i="4"/>
  <c r="M258" i="4"/>
  <c r="O257" i="4"/>
  <c r="N257" i="4"/>
  <c r="M257" i="4"/>
  <c r="O256" i="4"/>
  <c r="N256" i="4"/>
  <c r="M256" i="4"/>
  <c r="O255" i="4"/>
  <c r="N255" i="4"/>
  <c r="M255" i="4"/>
  <c r="O254" i="4"/>
  <c r="N254" i="4"/>
  <c r="M254" i="4"/>
  <c r="O253" i="4"/>
  <c r="N253" i="4"/>
  <c r="M253" i="4"/>
  <c r="O252" i="4"/>
  <c r="N252" i="4"/>
  <c r="M252" i="4"/>
  <c r="O251" i="4"/>
  <c r="N251" i="4"/>
  <c r="M251" i="4"/>
  <c r="O250" i="4"/>
  <c r="N250" i="4"/>
  <c r="M250" i="4"/>
  <c r="O249" i="4"/>
  <c r="N249" i="4"/>
  <c r="M249" i="4"/>
  <c r="O248" i="4"/>
  <c r="N248" i="4"/>
  <c r="M248" i="4"/>
  <c r="O247" i="4"/>
  <c r="N247" i="4"/>
  <c r="M247" i="4"/>
  <c r="O246" i="4"/>
  <c r="N246" i="4"/>
  <c r="M246" i="4"/>
  <c r="O245" i="4"/>
  <c r="N245" i="4"/>
  <c r="M245" i="4"/>
  <c r="O244" i="4"/>
  <c r="N244" i="4"/>
  <c r="M244" i="4"/>
  <c r="O243" i="4"/>
  <c r="N243" i="4"/>
  <c r="M243" i="4"/>
  <c r="O242" i="4"/>
  <c r="N242" i="4"/>
  <c r="M242" i="4"/>
  <c r="O241" i="4"/>
  <c r="N241" i="4"/>
  <c r="M241" i="4"/>
  <c r="O240" i="4"/>
  <c r="N240" i="4"/>
  <c r="M240" i="4"/>
  <c r="O239" i="4"/>
  <c r="N239" i="4"/>
  <c r="M239" i="4"/>
  <c r="O238" i="4"/>
  <c r="N238" i="4"/>
  <c r="M238" i="4"/>
  <c r="O237" i="4"/>
  <c r="N237" i="4"/>
  <c r="M237" i="4"/>
  <c r="O236" i="4"/>
  <c r="N236" i="4"/>
  <c r="M236" i="4"/>
  <c r="O235" i="4"/>
  <c r="N235" i="4"/>
  <c r="M235" i="4"/>
  <c r="O234" i="4"/>
  <c r="N234" i="4"/>
  <c r="M234" i="4"/>
  <c r="O233" i="4"/>
  <c r="N233" i="4"/>
  <c r="M233" i="4"/>
  <c r="O232" i="4"/>
  <c r="N232" i="4"/>
  <c r="M232" i="4"/>
  <c r="O231" i="4"/>
  <c r="N231" i="4"/>
  <c r="M231" i="4"/>
  <c r="O230" i="4"/>
  <c r="N230" i="4"/>
  <c r="M230" i="4"/>
  <c r="O229" i="4"/>
  <c r="N229" i="4"/>
  <c r="M229" i="4"/>
  <c r="O228" i="4"/>
  <c r="N228" i="4"/>
  <c r="M228" i="4"/>
  <c r="O227" i="4"/>
  <c r="N227" i="4"/>
  <c r="M227" i="4"/>
  <c r="O226" i="4"/>
  <c r="N226" i="4"/>
  <c r="M226" i="4"/>
  <c r="O225" i="4"/>
  <c r="N225" i="4"/>
  <c r="M225" i="4"/>
  <c r="O224" i="4"/>
  <c r="N224" i="4"/>
  <c r="M224" i="4"/>
  <c r="O223" i="4"/>
  <c r="N223" i="4"/>
  <c r="M223" i="4"/>
  <c r="O222" i="4"/>
  <c r="N222" i="4"/>
  <c r="M222" i="4"/>
  <c r="O221" i="4"/>
  <c r="N221" i="4"/>
  <c r="M221" i="4"/>
  <c r="O220" i="4"/>
  <c r="N220" i="4"/>
  <c r="M220" i="4"/>
  <c r="O219" i="4"/>
  <c r="N219" i="4"/>
  <c r="M219" i="4"/>
  <c r="O218" i="4"/>
  <c r="N218" i="4"/>
  <c r="M218" i="4"/>
  <c r="O217" i="4"/>
  <c r="N217" i="4"/>
  <c r="M217" i="4"/>
  <c r="O216" i="4"/>
  <c r="N216" i="4"/>
  <c r="M216" i="4"/>
  <c r="O215" i="4"/>
  <c r="N215" i="4"/>
  <c r="M215" i="4"/>
  <c r="O214" i="4"/>
  <c r="N214" i="4"/>
  <c r="M214" i="4"/>
  <c r="O213" i="4"/>
  <c r="N213" i="4"/>
  <c r="M213" i="4"/>
  <c r="O212" i="4"/>
  <c r="N212" i="4"/>
  <c r="M212" i="4"/>
  <c r="O211" i="4"/>
  <c r="N211" i="4"/>
  <c r="M211" i="4"/>
  <c r="O210" i="4"/>
  <c r="N210" i="4"/>
  <c r="M210" i="4"/>
  <c r="O209" i="4"/>
  <c r="N209" i="4"/>
  <c r="M209" i="4"/>
  <c r="O208" i="4"/>
  <c r="N208" i="4"/>
  <c r="M208" i="4"/>
  <c r="O207" i="4"/>
  <c r="N207" i="4"/>
  <c r="M207" i="4"/>
  <c r="O206" i="4"/>
  <c r="N206" i="4"/>
  <c r="M206" i="4"/>
  <c r="O205" i="4"/>
  <c r="N205" i="4"/>
  <c r="M205" i="4"/>
  <c r="O204" i="4"/>
  <c r="N204" i="4"/>
  <c r="M204" i="4"/>
  <c r="O203" i="4"/>
  <c r="N203" i="4"/>
  <c r="M203" i="4"/>
  <c r="O202" i="4"/>
  <c r="N202" i="4"/>
  <c r="M202" i="4"/>
  <c r="O201" i="4"/>
  <c r="N201" i="4"/>
  <c r="M201" i="4"/>
  <c r="O200" i="4"/>
  <c r="N200" i="4"/>
  <c r="M200" i="4"/>
  <c r="O199" i="4"/>
  <c r="N199" i="4"/>
  <c r="M199" i="4"/>
  <c r="O198" i="4"/>
  <c r="N198" i="4"/>
  <c r="M198" i="4"/>
  <c r="O197" i="4"/>
  <c r="N197" i="4"/>
  <c r="M197" i="4"/>
  <c r="O196" i="4"/>
  <c r="N196" i="4"/>
  <c r="M196" i="4"/>
  <c r="O195" i="4"/>
  <c r="N195" i="4"/>
  <c r="M195" i="4"/>
  <c r="O194" i="4"/>
  <c r="N194" i="4"/>
  <c r="M194" i="4"/>
  <c r="O193" i="4"/>
  <c r="N193" i="4"/>
  <c r="M193" i="4"/>
  <c r="O192" i="4"/>
  <c r="N192" i="4"/>
  <c r="M192" i="4"/>
  <c r="O191" i="4"/>
  <c r="N191" i="4"/>
  <c r="M191" i="4"/>
  <c r="O190" i="4"/>
  <c r="N190" i="4"/>
  <c r="M190" i="4"/>
  <c r="O189" i="4"/>
  <c r="N189" i="4"/>
  <c r="M189" i="4"/>
  <c r="O188" i="4"/>
  <c r="N188" i="4"/>
  <c r="M188" i="4"/>
  <c r="O187" i="4"/>
  <c r="N187" i="4"/>
  <c r="M187" i="4"/>
  <c r="O186" i="4"/>
  <c r="N186" i="4"/>
  <c r="M186" i="4"/>
  <c r="O185" i="4"/>
  <c r="N185" i="4"/>
  <c r="M185" i="4"/>
  <c r="O184" i="4"/>
  <c r="N184" i="4"/>
  <c r="M184" i="4"/>
  <c r="O183" i="4"/>
  <c r="N183" i="4"/>
  <c r="M183" i="4"/>
  <c r="O182" i="4"/>
  <c r="N182" i="4"/>
  <c r="M182" i="4"/>
  <c r="O181" i="4"/>
  <c r="N181" i="4"/>
  <c r="M181" i="4"/>
  <c r="O180" i="4"/>
  <c r="N180" i="4"/>
  <c r="M180" i="4"/>
  <c r="O179" i="4"/>
  <c r="N179" i="4"/>
  <c r="M179" i="4"/>
  <c r="O178" i="4"/>
  <c r="N178" i="4"/>
  <c r="M178" i="4"/>
  <c r="O177" i="4"/>
  <c r="N177" i="4"/>
  <c r="M177" i="4"/>
  <c r="O176" i="4"/>
  <c r="N176" i="4"/>
  <c r="M176" i="4"/>
  <c r="O175" i="4"/>
  <c r="N175" i="4"/>
  <c r="M175" i="4"/>
  <c r="O174" i="4"/>
  <c r="N174" i="4"/>
  <c r="M174" i="4"/>
  <c r="O173" i="4"/>
  <c r="N173" i="4"/>
  <c r="M173" i="4"/>
  <c r="O172" i="4"/>
  <c r="N172" i="4"/>
  <c r="M172" i="4"/>
  <c r="O171" i="4"/>
  <c r="N171" i="4"/>
  <c r="M171" i="4"/>
  <c r="O170" i="4"/>
  <c r="N170" i="4"/>
  <c r="M170" i="4"/>
  <c r="O169" i="4"/>
  <c r="N169" i="4"/>
  <c r="M169" i="4"/>
  <c r="O168" i="4"/>
  <c r="N168" i="4"/>
  <c r="M168" i="4"/>
  <c r="O167" i="4"/>
  <c r="N167" i="4"/>
  <c r="M167" i="4"/>
  <c r="O166" i="4"/>
  <c r="N166" i="4"/>
  <c r="M166" i="4"/>
  <c r="O165" i="4"/>
  <c r="N165" i="4"/>
  <c r="M165" i="4"/>
  <c r="O164" i="4"/>
  <c r="N164" i="4"/>
  <c r="M164" i="4"/>
  <c r="O163" i="4"/>
  <c r="N163" i="4"/>
  <c r="M163" i="4"/>
  <c r="O162" i="4"/>
  <c r="N162" i="4"/>
  <c r="M162" i="4"/>
  <c r="O161" i="4"/>
  <c r="N161" i="4"/>
  <c r="M161" i="4"/>
  <c r="O160" i="4"/>
  <c r="N160" i="4"/>
  <c r="M160" i="4"/>
  <c r="O159" i="4"/>
  <c r="N159" i="4"/>
  <c r="M159" i="4"/>
  <c r="O158" i="4"/>
  <c r="N158" i="4"/>
  <c r="M158" i="4"/>
  <c r="O157" i="4"/>
  <c r="N157" i="4"/>
  <c r="M157" i="4"/>
  <c r="O156" i="4"/>
  <c r="N156" i="4"/>
  <c r="M156" i="4"/>
  <c r="O155" i="4"/>
  <c r="N155" i="4"/>
  <c r="M155" i="4"/>
  <c r="O154" i="4"/>
  <c r="N154" i="4"/>
  <c r="M154" i="4"/>
  <c r="O153" i="4"/>
  <c r="N153" i="4"/>
  <c r="M153" i="4"/>
  <c r="O152" i="4"/>
  <c r="N152" i="4"/>
  <c r="M152" i="4"/>
  <c r="O151" i="4"/>
  <c r="N151" i="4"/>
  <c r="M151" i="4"/>
  <c r="O150" i="4"/>
  <c r="N150" i="4"/>
  <c r="M150" i="4"/>
  <c r="O149" i="4"/>
  <c r="N149" i="4"/>
  <c r="M149" i="4"/>
  <c r="O148" i="4"/>
  <c r="N148" i="4"/>
  <c r="M148" i="4"/>
  <c r="O147" i="4"/>
  <c r="N147" i="4"/>
  <c r="M147" i="4"/>
  <c r="O146" i="4"/>
  <c r="N146" i="4"/>
  <c r="M146" i="4"/>
  <c r="O145" i="4"/>
  <c r="N145" i="4"/>
  <c r="M145" i="4"/>
  <c r="O144" i="4"/>
  <c r="N144" i="4"/>
  <c r="M144" i="4"/>
  <c r="O143" i="4"/>
  <c r="N143" i="4"/>
  <c r="M143" i="4"/>
  <c r="O142" i="4"/>
  <c r="N142" i="4"/>
  <c r="M142" i="4"/>
  <c r="O141" i="4"/>
  <c r="N141" i="4"/>
  <c r="M141" i="4"/>
  <c r="O140" i="4"/>
  <c r="N140" i="4"/>
  <c r="M140" i="4"/>
  <c r="O139" i="4"/>
  <c r="N139" i="4"/>
  <c r="M139" i="4"/>
  <c r="O138" i="4"/>
  <c r="N138" i="4"/>
  <c r="M138" i="4"/>
  <c r="O137" i="4"/>
  <c r="N137" i="4"/>
  <c r="M137" i="4"/>
  <c r="O136" i="4"/>
  <c r="N136" i="4"/>
  <c r="M136" i="4"/>
  <c r="O135" i="4"/>
  <c r="N135" i="4"/>
  <c r="M135" i="4"/>
  <c r="O134" i="4"/>
  <c r="N134" i="4"/>
  <c r="M134" i="4"/>
  <c r="O133" i="4"/>
  <c r="N133" i="4"/>
  <c r="M133" i="4"/>
  <c r="O132" i="4"/>
  <c r="N132" i="4"/>
  <c r="M132" i="4"/>
  <c r="O131" i="4"/>
  <c r="N131" i="4"/>
  <c r="M131" i="4"/>
  <c r="O130" i="4"/>
  <c r="N130" i="4"/>
  <c r="M130" i="4"/>
  <c r="O129" i="4"/>
  <c r="N129" i="4"/>
  <c r="M129" i="4"/>
  <c r="O128" i="4"/>
  <c r="N128" i="4"/>
  <c r="M128" i="4"/>
  <c r="O127" i="4"/>
  <c r="N127" i="4"/>
  <c r="M127" i="4"/>
  <c r="O126" i="4"/>
  <c r="N126" i="4"/>
  <c r="M126" i="4"/>
  <c r="O125" i="4"/>
  <c r="N125" i="4"/>
  <c r="M125" i="4"/>
  <c r="O124" i="4"/>
  <c r="N124" i="4"/>
  <c r="M124" i="4"/>
  <c r="O123" i="4"/>
  <c r="N123" i="4"/>
  <c r="M123" i="4"/>
  <c r="O122" i="4"/>
  <c r="N122" i="4"/>
  <c r="M122" i="4"/>
  <c r="O121" i="4"/>
  <c r="N121" i="4"/>
  <c r="M121" i="4"/>
  <c r="O120" i="4"/>
  <c r="N120" i="4"/>
  <c r="M120" i="4"/>
  <c r="O119" i="4"/>
  <c r="N119" i="4"/>
  <c r="M119" i="4"/>
  <c r="O118" i="4"/>
  <c r="N118" i="4"/>
  <c r="M118" i="4"/>
  <c r="O117" i="4"/>
  <c r="N117" i="4"/>
  <c r="M117" i="4"/>
  <c r="O116" i="4"/>
  <c r="N116" i="4"/>
  <c r="M116" i="4"/>
  <c r="O115" i="4"/>
  <c r="N115" i="4"/>
  <c r="M115" i="4"/>
  <c r="O114" i="4"/>
  <c r="N114" i="4"/>
  <c r="M114" i="4"/>
  <c r="O113" i="4"/>
  <c r="N113" i="4"/>
  <c r="M113" i="4"/>
  <c r="O112" i="4"/>
  <c r="N112" i="4"/>
  <c r="M112" i="4"/>
  <c r="O111" i="4"/>
  <c r="N111" i="4"/>
  <c r="M111" i="4"/>
  <c r="O110" i="4"/>
  <c r="N110" i="4"/>
  <c r="M110" i="4"/>
  <c r="O109" i="4"/>
  <c r="N109" i="4"/>
  <c r="M109" i="4"/>
  <c r="O108" i="4"/>
  <c r="N108" i="4"/>
  <c r="M108" i="4"/>
  <c r="O107" i="4"/>
  <c r="N107" i="4"/>
  <c r="M107" i="4"/>
  <c r="O106" i="4"/>
  <c r="N106" i="4"/>
  <c r="M106" i="4"/>
  <c r="O105" i="4"/>
  <c r="N105" i="4"/>
  <c r="M105" i="4"/>
  <c r="O104" i="4"/>
  <c r="N104" i="4"/>
  <c r="M104" i="4"/>
  <c r="O103" i="4"/>
  <c r="N103" i="4"/>
  <c r="M103" i="4"/>
  <c r="O102" i="4"/>
  <c r="N102" i="4"/>
  <c r="M102" i="4"/>
  <c r="O101" i="4"/>
  <c r="N101" i="4"/>
  <c r="M101" i="4"/>
  <c r="O100" i="4"/>
  <c r="N100" i="4"/>
  <c r="M100" i="4"/>
  <c r="O99" i="4"/>
  <c r="N99" i="4"/>
  <c r="M99" i="4"/>
  <c r="O98" i="4"/>
  <c r="N98" i="4"/>
  <c r="M98" i="4"/>
  <c r="O97" i="4"/>
  <c r="N97" i="4"/>
  <c r="M97" i="4"/>
  <c r="O96" i="4"/>
  <c r="N96" i="4"/>
  <c r="M96" i="4"/>
  <c r="O95" i="4"/>
  <c r="N95" i="4"/>
  <c r="M95" i="4"/>
  <c r="O94" i="4"/>
  <c r="N94" i="4"/>
  <c r="M94" i="4"/>
  <c r="O93" i="4"/>
  <c r="N93" i="4"/>
  <c r="M93" i="4"/>
  <c r="O92" i="4"/>
  <c r="N92" i="4"/>
  <c r="M92" i="4"/>
  <c r="O91" i="4"/>
  <c r="N91" i="4"/>
  <c r="M91" i="4"/>
  <c r="O90" i="4"/>
  <c r="N90" i="4"/>
  <c r="M90" i="4"/>
  <c r="O89" i="4"/>
  <c r="N89" i="4"/>
  <c r="M89" i="4"/>
  <c r="O88" i="4"/>
  <c r="N88" i="4"/>
  <c r="M88" i="4"/>
  <c r="O87" i="4"/>
  <c r="N87" i="4"/>
  <c r="M87" i="4"/>
  <c r="O86" i="4"/>
  <c r="N86" i="4"/>
  <c r="M86" i="4"/>
  <c r="O85" i="4"/>
  <c r="N85" i="4"/>
  <c r="M85" i="4"/>
  <c r="O84" i="4"/>
  <c r="N84" i="4"/>
  <c r="M84" i="4"/>
  <c r="O83" i="4"/>
  <c r="N83" i="4"/>
  <c r="M83" i="4"/>
  <c r="O82" i="4"/>
  <c r="N82" i="4"/>
  <c r="M82" i="4"/>
  <c r="O81" i="4"/>
  <c r="N81" i="4"/>
  <c r="M81" i="4"/>
  <c r="O80" i="4"/>
  <c r="N80" i="4"/>
  <c r="M80" i="4"/>
  <c r="O79" i="4"/>
  <c r="N79" i="4"/>
  <c r="M79" i="4"/>
  <c r="O78" i="4"/>
  <c r="N78" i="4"/>
  <c r="M78" i="4"/>
  <c r="O77" i="4"/>
  <c r="N77" i="4"/>
  <c r="M77" i="4"/>
  <c r="O76" i="4"/>
  <c r="N76" i="4"/>
  <c r="M76" i="4"/>
  <c r="O75" i="4"/>
  <c r="N75" i="4"/>
  <c r="M75" i="4"/>
  <c r="O74" i="4"/>
  <c r="N74" i="4"/>
  <c r="M74" i="4"/>
  <c r="O73" i="4"/>
  <c r="N73" i="4"/>
  <c r="M73" i="4"/>
  <c r="O72" i="4"/>
  <c r="N72" i="4"/>
  <c r="M72" i="4"/>
  <c r="O71" i="4"/>
  <c r="N71" i="4"/>
  <c r="M71" i="4"/>
  <c r="O70" i="4"/>
  <c r="N70" i="4"/>
  <c r="M70" i="4"/>
  <c r="O69" i="4"/>
  <c r="N69" i="4"/>
  <c r="M69" i="4"/>
  <c r="O68" i="4"/>
  <c r="N68" i="4"/>
  <c r="M68" i="4"/>
  <c r="O67" i="4"/>
  <c r="N67" i="4"/>
  <c r="M67" i="4"/>
  <c r="O66" i="4"/>
  <c r="N66" i="4"/>
  <c r="M66" i="4"/>
  <c r="O65" i="4"/>
  <c r="N65" i="4"/>
  <c r="M65" i="4"/>
  <c r="O64" i="4"/>
  <c r="N64" i="4"/>
  <c r="M64" i="4"/>
  <c r="O63" i="4"/>
  <c r="N63" i="4"/>
  <c r="M63" i="4"/>
  <c r="O62" i="4"/>
  <c r="N62" i="4"/>
  <c r="M62" i="4"/>
  <c r="O61" i="4"/>
  <c r="N61" i="4"/>
  <c r="M61" i="4"/>
  <c r="O60" i="4"/>
  <c r="N60" i="4"/>
  <c r="M60" i="4"/>
  <c r="O59" i="4"/>
  <c r="N59" i="4"/>
  <c r="M59" i="4"/>
  <c r="O58" i="4"/>
  <c r="N58" i="4"/>
  <c r="M58" i="4"/>
  <c r="O57" i="4"/>
  <c r="N57" i="4"/>
  <c r="M57" i="4"/>
  <c r="O56" i="4"/>
  <c r="N56" i="4"/>
  <c r="M56" i="4"/>
  <c r="O55" i="4"/>
  <c r="N55" i="4"/>
  <c r="M55" i="4"/>
  <c r="O54" i="4"/>
  <c r="N54" i="4"/>
  <c r="M54" i="4"/>
  <c r="O53" i="4"/>
  <c r="N53" i="4"/>
  <c r="M53" i="4"/>
  <c r="O52" i="4"/>
  <c r="N52" i="4"/>
  <c r="M52" i="4"/>
  <c r="O51" i="4"/>
  <c r="N51" i="4"/>
  <c r="M51" i="4"/>
  <c r="O50" i="4"/>
  <c r="N50" i="4"/>
  <c r="M50" i="4"/>
  <c r="O49" i="4"/>
  <c r="N49" i="4"/>
  <c r="M49" i="4"/>
  <c r="O48" i="4"/>
  <c r="N48" i="4"/>
  <c r="M48" i="4"/>
  <c r="O47" i="4"/>
  <c r="N47" i="4"/>
  <c r="M47" i="4"/>
  <c r="O46" i="4"/>
  <c r="N46" i="4"/>
  <c r="M46" i="4"/>
  <c r="O45" i="4"/>
  <c r="N45" i="4"/>
  <c r="M45" i="4"/>
  <c r="O44" i="4"/>
  <c r="N44" i="4"/>
  <c r="M44" i="4"/>
  <c r="O43" i="4"/>
  <c r="N43" i="4"/>
  <c r="M43" i="4"/>
  <c r="O42" i="4"/>
  <c r="N42" i="4"/>
  <c r="M42" i="4"/>
  <c r="O41" i="4"/>
  <c r="N41" i="4"/>
  <c r="M41" i="4"/>
  <c r="O40" i="4"/>
  <c r="N40" i="4"/>
  <c r="M40" i="4"/>
  <c r="O39" i="4"/>
  <c r="N39" i="4"/>
  <c r="M39" i="4"/>
  <c r="O38" i="4"/>
  <c r="N38" i="4"/>
  <c r="M38" i="4"/>
  <c r="O37" i="4"/>
  <c r="N37" i="4"/>
  <c r="M37" i="4"/>
  <c r="O36" i="4"/>
  <c r="N36" i="4"/>
  <c r="M36" i="4"/>
  <c r="O35" i="4"/>
  <c r="N35" i="4"/>
  <c r="M35" i="4"/>
  <c r="O34" i="4"/>
  <c r="N34" i="4"/>
  <c r="M34" i="4"/>
  <c r="O33" i="4"/>
  <c r="N33" i="4"/>
  <c r="M33" i="4"/>
  <c r="O32" i="4"/>
  <c r="N32" i="4"/>
  <c r="M32" i="4"/>
  <c r="O31" i="4"/>
  <c r="N31" i="4"/>
  <c r="M31" i="4"/>
  <c r="O30" i="4"/>
  <c r="N30" i="4"/>
  <c r="M30" i="4"/>
  <c r="O29" i="4"/>
  <c r="N29" i="4"/>
  <c r="M29" i="4"/>
  <c r="O28" i="4"/>
  <c r="N28" i="4"/>
  <c r="M28" i="4"/>
  <c r="O27" i="4"/>
  <c r="N27" i="4"/>
  <c r="M27" i="4"/>
  <c r="O26" i="4"/>
  <c r="N26" i="4"/>
  <c r="M26" i="4"/>
  <c r="O25" i="4"/>
  <c r="N25" i="4"/>
  <c r="M25" i="4"/>
  <c r="O24" i="4"/>
  <c r="N24" i="4"/>
  <c r="M24" i="4"/>
  <c r="O23" i="4"/>
  <c r="N23" i="4"/>
  <c r="M23" i="4"/>
  <c r="O22" i="4"/>
  <c r="N22" i="4"/>
  <c r="M22" i="4"/>
  <c r="O21" i="4"/>
  <c r="N21" i="4"/>
  <c r="M21" i="4"/>
  <c r="O20" i="4"/>
  <c r="N20" i="4"/>
  <c r="M20" i="4"/>
  <c r="O19" i="4"/>
  <c r="N19" i="4"/>
  <c r="M19" i="4"/>
  <c r="O18" i="4"/>
  <c r="N18" i="4"/>
  <c r="M18" i="4"/>
  <c r="O17" i="4"/>
  <c r="N17" i="4"/>
  <c r="M17" i="4"/>
  <c r="O16" i="4"/>
  <c r="N16" i="4"/>
  <c r="M16" i="4"/>
  <c r="O15" i="4"/>
  <c r="N15" i="4"/>
  <c r="M15" i="4"/>
  <c r="O14" i="4"/>
  <c r="N14" i="4"/>
  <c r="M14" i="4"/>
  <c r="O13" i="4"/>
  <c r="N13" i="4"/>
  <c r="M13" i="4"/>
  <c r="O12" i="4"/>
  <c r="N12" i="4"/>
  <c r="M12" i="4"/>
  <c r="O11" i="4"/>
  <c r="N11" i="4"/>
  <c r="M11" i="4"/>
  <c r="O10" i="4"/>
  <c r="N10" i="4"/>
  <c r="M10" i="4"/>
  <c r="O9" i="4"/>
  <c r="N9" i="4"/>
  <c r="M9" i="4"/>
  <c r="O8" i="4"/>
  <c r="N8" i="4"/>
  <c r="M8" i="4"/>
  <c r="O7" i="4"/>
  <c r="N7" i="4"/>
  <c r="M7" i="4"/>
  <c r="O6" i="4"/>
  <c r="N6" i="4"/>
  <c r="M6" i="4"/>
  <c r="O5" i="4"/>
  <c r="N5" i="4"/>
  <c r="M5" i="4"/>
  <c r="O4" i="4"/>
  <c r="N4" i="4"/>
  <c r="M4" i="4"/>
  <c r="O3" i="4"/>
  <c r="N3" i="4"/>
  <c r="M3" i="4"/>
  <c r="O2" i="4"/>
  <c r="N2" i="4"/>
  <c r="M2" i="4"/>
  <c r="K3" i="6" l="1"/>
  <c r="W3" i="6"/>
  <c r="AI3" i="6"/>
  <c r="AU3" i="6"/>
  <c r="BG3" i="6"/>
  <c r="BS3" i="6"/>
  <c r="CE3" i="6"/>
  <c r="CQ3" i="6"/>
  <c r="DC3" i="6"/>
  <c r="CN3" i="6"/>
  <c r="L3" i="6"/>
  <c r="X3" i="6"/>
  <c r="AJ3" i="6"/>
  <c r="AV3" i="6"/>
  <c r="BH3" i="6"/>
  <c r="BT3" i="6"/>
  <c r="CF3" i="6"/>
  <c r="CR3" i="6"/>
  <c r="DD3" i="6"/>
  <c r="M3" i="6"/>
  <c r="Y3" i="6"/>
  <c r="AK3" i="6"/>
  <c r="AW3" i="6"/>
  <c r="BI3" i="6"/>
  <c r="BU3" i="6"/>
  <c r="CG3" i="6"/>
  <c r="CS3" i="6"/>
  <c r="DE3" i="6"/>
  <c r="E3" i="6"/>
  <c r="AR3" i="6"/>
  <c r="CZ3" i="6"/>
  <c r="N3" i="6"/>
  <c r="Z3" i="6"/>
  <c r="AL3" i="6"/>
  <c r="AX3" i="6"/>
  <c r="BJ3" i="6"/>
  <c r="BV3" i="6"/>
  <c r="CH3" i="6"/>
  <c r="CT3" i="6"/>
  <c r="BD3" i="6"/>
  <c r="O3" i="6"/>
  <c r="AA3" i="6"/>
  <c r="AM3" i="6"/>
  <c r="AY3" i="6"/>
  <c r="BK3" i="6"/>
  <c r="BW3" i="6"/>
  <c r="CI3" i="6"/>
  <c r="CU3" i="6"/>
  <c r="AF3" i="6"/>
  <c r="P3" i="6"/>
  <c r="AB3" i="6"/>
  <c r="AN3" i="6"/>
  <c r="AZ3" i="6"/>
  <c r="BL3" i="6"/>
  <c r="BX3" i="6"/>
  <c r="CJ3" i="6"/>
  <c r="CV3" i="6"/>
  <c r="BP3" i="6"/>
  <c r="V3" i="6"/>
  <c r="BR3" i="6"/>
  <c r="DB3" i="6"/>
  <c r="Q3" i="6"/>
  <c r="AC3" i="6"/>
  <c r="AO3" i="6"/>
  <c r="BA3" i="6"/>
  <c r="BM3" i="6"/>
  <c r="BY3" i="6"/>
  <c r="CK3" i="6"/>
  <c r="CW3" i="6"/>
  <c r="AT3" i="6"/>
  <c r="CP3" i="6"/>
  <c r="R3" i="6"/>
  <c r="AD3" i="6"/>
  <c r="AP3" i="6"/>
  <c r="BB3" i="6"/>
  <c r="BN3" i="6"/>
  <c r="BZ3" i="6"/>
  <c r="CL3" i="6"/>
  <c r="CX3" i="6"/>
  <c r="T3" i="6"/>
  <c r="BF3" i="6"/>
  <c r="CD3" i="6"/>
  <c r="S3" i="6"/>
  <c r="AE3" i="6"/>
  <c r="AQ3" i="6"/>
  <c r="BC3" i="6"/>
  <c r="BO3" i="6"/>
  <c r="CA3" i="6"/>
  <c r="CM3" i="6"/>
  <c r="CY3" i="6"/>
  <c r="CB3" i="6"/>
  <c r="U3" i="6"/>
  <c r="AG3" i="6"/>
  <c r="AS3" i="6"/>
  <c r="BE3" i="6"/>
  <c r="BQ3" i="6"/>
  <c r="CC3" i="6"/>
  <c r="CO3" i="6"/>
  <c r="DA3" i="6"/>
  <c r="AH3" i="6"/>
  <c r="I6" i="6"/>
  <c r="A5" i="6"/>
  <c r="B5" i="6"/>
  <c r="C4" i="6"/>
  <c r="E4" i="6" s="1"/>
  <c r="F9" i="3"/>
  <c r="F8" i="3"/>
  <c r="G10" i="3" s="1" a="1"/>
  <c r="G10" i="3" s="1"/>
  <c r="K5" i="3"/>
  <c r="J4" i="3"/>
  <c r="K4" i="3"/>
  <c r="J5" i="3"/>
  <c r="I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I5" i="3"/>
  <c r="I6" i="3"/>
  <c r="I7" i="3"/>
  <c r="I8" i="3"/>
  <c r="I9" i="3"/>
  <c r="I10" i="3"/>
  <c r="I11" i="3"/>
  <c r="I12" i="3"/>
  <c r="I13" i="3"/>
  <c r="I14" i="3"/>
  <c r="I15" i="3"/>
  <c r="H2" i="3"/>
  <c r="U4" i="6" l="1"/>
  <c r="T4" i="6"/>
  <c r="AG4" i="6"/>
  <c r="BF4" i="6"/>
  <c r="CW4" i="6"/>
  <c r="BW4" i="6"/>
  <c r="AL4" i="6"/>
  <c r="AK4" i="6"/>
  <c r="L4" i="6"/>
  <c r="CK4" i="6"/>
  <c r="CV4" i="6"/>
  <c r="BK4" i="6"/>
  <c r="CN4" i="6"/>
  <c r="CB4" i="6"/>
  <c r="CX4" i="6"/>
  <c r="BY4" i="6"/>
  <c r="CJ4" i="6"/>
  <c r="AY4" i="6"/>
  <c r="N4" i="6"/>
  <c r="M4" i="6"/>
  <c r="Y4" i="6"/>
  <c r="CY4" i="6"/>
  <c r="CL4" i="6"/>
  <c r="BM4" i="6"/>
  <c r="BX4" i="6"/>
  <c r="AM4" i="6"/>
  <c r="CZ4" i="6"/>
  <c r="DC4" i="6"/>
  <c r="CM4" i="6"/>
  <c r="BZ4" i="6"/>
  <c r="BA4" i="6"/>
  <c r="BL4" i="6"/>
  <c r="AA4" i="6"/>
  <c r="AR4" i="6"/>
  <c r="DD4" i="6"/>
  <c r="CQ4" i="6"/>
  <c r="AH4" i="6"/>
  <c r="CA4" i="6"/>
  <c r="BN4" i="6"/>
  <c r="AO4" i="6"/>
  <c r="AZ4" i="6"/>
  <c r="O4" i="6"/>
  <c r="CR4" i="6"/>
  <c r="CE4" i="6"/>
  <c r="J4" i="6"/>
  <c r="H3" i="6"/>
  <c r="Z4" i="6"/>
  <c r="DA4" i="6"/>
  <c r="BO4" i="6"/>
  <c r="BB4" i="6"/>
  <c r="AC4" i="6"/>
  <c r="AN4" i="6"/>
  <c r="BD4" i="6"/>
  <c r="DE4" i="6"/>
  <c r="CF4" i="6"/>
  <c r="BS4" i="6"/>
  <c r="CO4" i="6"/>
  <c r="BC4" i="6"/>
  <c r="AP4" i="6"/>
  <c r="Q4" i="6"/>
  <c r="AB4" i="6"/>
  <c r="CT4" i="6"/>
  <c r="CS4" i="6"/>
  <c r="BT4" i="6"/>
  <c r="BG4" i="6"/>
  <c r="CC4" i="6"/>
  <c r="AQ4" i="6"/>
  <c r="AD4" i="6"/>
  <c r="DB4" i="6"/>
  <c r="P4" i="6"/>
  <c r="CH4" i="6"/>
  <c r="CG4" i="6"/>
  <c r="BH4" i="6"/>
  <c r="AU4" i="6"/>
  <c r="BQ4" i="6"/>
  <c r="AE4" i="6"/>
  <c r="R4" i="6"/>
  <c r="BR4" i="6"/>
  <c r="AF4" i="6"/>
  <c r="BV4" i="6"/>
  <c r="BU4" i="6"/>
  <c r="AV4" i="6"/>
  <c r="AI4" i="6"/>
  <c r="BE4" i="6"/>
  <c r="S4" i="6"/>
  <c r="CP4" i="6"/>
  <c r="V4" i="6"/>
  <c r="CU4" i="6"/>
  <c r="BJ4" i="6"/>
  <c r="BI4" i="6"/>
  <c r="AJ4" i="6"/>
  <c r="W4" i="6"/>
  <c r="AS4" i="6"/>
  <c r="AS5" i="6" s="1"/>
  <c r="AS6" i="6" s="1"/>
  <c r="CD4" i="6"/>
  <c r="AT4" i="6"/>
  <c r="AT5" i="6" s="1"/>
  <c r="AT6" i="6" s="1"/>
  <c r="BP4" i="6"/>
  <c r="CI4" i="6"/>
  <c r="AX4" i="6"/>
  <c r="AW4" i="6"/>
  <c r="X4" i="6"/>
  <c r="K4" i="6"/>
  <c r="C5" i="6"/>
  <c r="E5" i="6" s="1"/>
  <c r="I7" i="6"/>
  <c r="A6" i="6"/>
  <c r="B6" i="6"/>
  <c r="C6" i="6" s="1"/>
  <c r="E6" i="6" s="1"/>
  <c r="G6" i="3" a="1"/>
  <c r="G6" i="3" s="1"/>
  <c r="AW5" i="6" l="1"/>
  <c r="AW6" i="6" s="1"/>
  <c r="BP5" i="6"/>
  <c r="BP6" i="6" s="1"/>
  <c r="BE5" i="6"/>
  <c r="BE6" i="6" s="1"/>
  <c r="CY5" i="6"/>
  <c r="CY6" i="6" s="1"/>
  <c r="AA5" i="6"/>
  <c r="AA6" i="6" s="1"/>
  <c r="Y5" i="6"/>
  <c r="Y6" i="6" s="1"/>
  <c r="BL5" i="6"/>
  <c r="BL6" i="6" s="1"/>
  <c r="CF5" i="6"/>
  <c r="CF6" i="6" s="1"/>
  <c r="CR5" i="6"/>
  <c r="CR6" i="6" s="1"/>
  <c r="BW5" i="6"/>
  <c r="BW6" i="6" s="1"/>
  <c r="DE5" i="6"/>
  <c r="DE6" i="6" s="1"/>
  <c r="O5" i="6"/>
  <c r="O6" i="6" s="1"/>
  <c r="BG5" i="6"/>
  <c r="BG6" i="6" s="1"/>
  <c r="CK5" i="6"/>
  <c r="CK6" i="6" s="1"/>
  <c r="BQ5" i="6"/>
  <c r="BQ6" i="6" s="1"/>
  <c r="S5" i="6"/>
  <c r="S6" i="6" s="1"/>
  <c r="CD5" i="6"/>
  <c r="CD6" i="6" s="1"/>
  <c r="U5" i="6"/>
  <c r="U6" i="6" s="1"/>
  <c r="AG5" i="6"/>
  <c r="AG6" i="6" s="1"/>
  <c r="BT5" i="6"/>
  <c r="BT6" i="6" s="1"/>
  <c r="BD5" i="6"/>
  <c r="BD6" i="6" s="1"/>
  <c r="AZ5" i="6"/>
  <c r="AZ6" i="6" s="1"/>
  <c r="BA5" i="6"/>
  <c r="BA6" i="6" s="1"/>
  <c r="AL5" i="6"/>
  <c r="AL6" i="6" s="1"/>
  <c r="BF5" i="6"/>
  <c r="BF6" i="6" s="1"/>
  <c r="AU5" i="6"/>
  <c r="AU6" i="6" s="1"/>
  <c r="CS5" i="6"/>
  <c r="CS6" i="6" s="1"/>
  <c r="AN5" i="6"/>
  <c r="AN6" i="6" s="1"/>
  <c r="AO5" i="6"/>
  <c r="AO6" i="6" s="1"/>
  <c r="BZ5" i="6"/>
  <c r="BZ6" i="6" s="1"/>
  <c r="M5" i="6"/>
  <c r="M6" i="6" s="1"/>
  <c r="AI5" i="6"/>
  <c r="AI6" i="6" s="1"/>
  <c r="BH5" i="6"/>
  <c r="BH6" i="6" s="1"/>
  <c r="CT5" i="6"/>
  <c r="CT6" i="6" s="1"/>
  <c r="AC5" i="6"/>
  <c r="AC6" i="6" s="1"/>
  <c r="BN5" i="6"/>
  <c r="BN6" i="6" s="1"/>
  <c r="CM5" i="6"/>
  <c r="CM6" i="6" s="1"/>
  <c r="N5" i="6"/>
  <c r="N6" i="6" s="1"/>
  <c r="T5" i="6"/>
  <c r="T6" i="6" s="1"/>
  <c r="W5" i="6"/>
  <c r="W6" i="6" s="1"/>
  <c r="AV5" i="6"/>
  <c r="AV6" i="6" s="1"/>
  <c r="CG5" i="6"/>
  <c r="CG6" i="6" s="1"/>
  <c r="AB5" i="6"/>
  <c r="AB6" i="6" s="1"/>
  <c r="BB5" i="6"/>
  <c r="BB6" i="6" s="1"/>
  <c r="CA5" i="6"/>
  <c r="CA6" i="6" s="1"/>
  <c r="CV5" i="6"/>
  <c r="CV6" i="6" s="1"/>
  <c r="AY5" i="6"/>
  <c r="AY6" i="6" s="1"/>
  <c r="AJ5" i="6"/>
  <c r="AJ6" i="6" s="1"/>
  <c r="BU5" i="6"/>
  <c r="BU6" i="6" s="1"/>
  <c r="CH5" i="6"/>
  <c r="CH6" i="6" s="1"/>
  <c r="Q5" i="6"/>
  <c r="Q6" i="6" s="1"/>
  <c r="BO5" i="6"/>
  <c r="BO6" i="6" s="1"/>
  <c r="AH5" i="6"/>
  <c r="AH6" i="6" s="1"/>
  <c r="DC5" i="6"/>
  <c r="DC6" i="6" s="1"/>
  <c r="CJ5" i="6"/>
  <c r="CJ6" i="6" s="1"/>
  <c r="K5" i="6"/>
  <c r="K6" i="6" s="1"/>
  <c r="BI5" i="6"/>
  <c r="BI6" i="6" s="1"/>
  <c r="BV5" i="6"/>
  <c r="BV6" i="6" s="1"/>
  <c r="P5" i="6"/>
  <c r="P6" i="6" s="1"/>
  <c r="AP5" i="6"/>
  <c r="AP6" i="6" s="1"/>
  <c r="DA5" i="6"/>
  <c r="DA6" i="6" s="1"/>
  <c r="BK5" i="6"/>
  <c r="BK6" i="6" s="1"/>
  <c r="CZ5" i="6"/>
  <c r="CZ6" i="6" s="1"/>
  <c r="BY5" i="6"/>
  <c r="BY6" i="6" s="1"/>
  <c r="X5" i="6"/>
  <c r="X6" i="6" s="1"/>
  <c r="BJ5" i="6"/>
  <c r="BJ6" i="6" s="1"/>
  <c r="AF5" i="6"/>
  <c r="AF6" i="6" s="1"/>
  <c r="DB5" i="6"/>
  <c r="DB6" i="6" s="1"/>
  <c r="BC5" i="6"/>
  <c r="BC6" i="6" s="1"/>
  <c r="Z5" i="6"/>
  <c r="Z6" i="6" s="1"/>
  <c r="CW5" i="6"/>
  <c r="CW6" i="6" s="1"/>
  <c r="AM5" i="6"/>
  <c r="AM6" i="6" s="1"/>
  <c r="CX5" i="6"/>
  <c r="CX6" i="6" s="1"/>
  <c r="BR5" i="6"/>
  <c r="BR6" i="6" s="1"/>
  <c r="AD5" i="6"/>
  <c r="AD6" i="6" s="1"/>
  <c r="CO5" i="6"/>
  <c r="CO6" i="6" s="1"/>
  <c r="CQ5" i="6"/>
  <c r="CQ6" i="6" s="1"/>
  <c r="BX5" i="6"/>
  <c r="BX6" i="6" s="1"/>
  <c r="CB5" i="6"/>
  <c r="CB6" i="6" s="1"/>
  <c r="CU5" i="6"/>
  <c r="CU6" i="6" s="1"/>
  <c r="AX5" i="6"/>
  <c r="AX6" i="6" s="1"/>
  <c r="V5" i="6"/>
  <c r="V6" i="6" s="1"/>
  <c r="R5" i="6"/>
  <c r="R6" i="6" s="1"/>
  <c r="AQ5" i="6"/>
  <c r="AQ6" i="6" s="1"/>
  <c r="AK5" i="6"/>
  <c r="AK6" i="6" s="1"/>
  <c r="J5" i="6"/>
  <c r="H4" i="6"/>
  <c r="DD5" i="6"/>
  <c r="DD6" i="6" s="1"/>
  <c r="BM5" i="6"/>
  <c r="BM6" i="6" s="1"/>
  <c r="CN5" i="6"/>
  <c r="CN6" i="6" s="1"/>
  <c r="CI5" i="6"/>
  <c r="CI6" i="6" s="1"/>
  <c r="CP5" i="6"/>
  <c r="CP6" i="6" s="1"/>
  <c r="AE5" i="6"/>
  <c r="AE6" i="6" s="1"/>
  <c r="CC5" i="6"/>
  <c r="CC6" i="6" s="1"/>
  <c r="BS5" i="6"/>
  <c r="BS6" i="6" s="1"/>
  <c r="CE5" i="6"/>
  <c r="CE6" i="6" s="1"/>
  <c r="AR5" i="6"/>
  <c r="AR6" i="6" s="1"/>
  <c r="CL5" i="6"/>
  <c r="CL6" i="6" s="1"/>
  <c r="L5" i="6"/>
  <c r="L6" i="6" s="1"/>
  <c r="I8" i="6"/>
  <c r="A7" i="6"/>
  <c r="B7" i="6"/>
  <c r="G5" i="3" a="1"/>
  <c r="G5" i="3" s="1"/>
  <c r="G4" i="3"/>
  <c r="J6" i="6" l="1"/>
  <c r="H5" i="6"/>
  <c r="C7" i="6"/>
  <c r="AH7" i="6" s="1"/>
  <c r="AH8" i="6" s="1"/>
  <c r="I9" i="6"/>
  <c r="AY7" i="6" l="1"/>
  <c r="AY8" i="6" s="1"/>
  <c r="CO7" i="6"/>
  <c r="CO8" i="6" s="1"/>
  <c r="BV7" i="6"/>
  <c r="BV8" i="6" s="1"/>
  <c r="BD7" i="6"/>
  <c r="BD8" i="6" s="1"/>
  <c r="BF7" i="6"/>
  <c r="BF8" i="6" s="1"/>
  <c r="CW7" i="6"/>
  <c r="CW8" i="6" s="1"/>
  <c r="CY7" i="6"/>
  <c r="CY8" i="6" s="1"/>
  <c r="S7" i="6"/>
  <c r="S8" i="6" s="1"/>
  <c r="CK7" i="6"/>
  <c r="CK8" i="6" s="1"/>
  <c r="BE7" i="6"/>
  <c r="BE8" i="6" s="1"/>
  <c r="O7" i="6"/>
  <c r="O8" i="6" s="1"/>
  <c r="BP7" i="6"/>
  <c r="BP8" i="6" s="1"/>
  <c r="Y7" i="6"/>
  <c r="Y8" i="6" s="1"/>
  <c r="AT7" i="6"/>
  <c r="AT8" i="6" s="1"/>
  <c r="CR7" i="6"/>
  <c r="CR8" i="6" s="1"/>
  <c r="BW7" i="6"/>
  <c r="BW8" i="6" s="1"/>
  <c r="BQ7" i="6"/>
  <c r="BQ8" i="6" s="1"/>
  <c r="BG7" i="6"/>
  <c r="BG8" i="6" s="1"/>
  <c r="BL7" i="6"/>
  <c r="BL8" i="6" s="1"/>
  <c r="AA7" i="6"/>
  <c r="AA8" i="6" s="1"/>
  <c r="DE7" i="6"/>
  <c r="DE8" i="6" s="1"/>
  <c r="AS7" i="6"/>
  <c r="AS8" i="6" s="1"/>
  <c r="CF7" i="6"/>
  <c r="CF8" i="6" s="1"/>
  <c r="AW7" i="6"/>
  <c r="AW8" i="6" s="1"/>
  <c r="BN7" i="6"/>
  <c r="BN8" i="6" s="1"/>
  <c r="BJ7" i="6"/>
  <c r="BJ8" i="6" s="1"/>
  <c r="AJ7" i="6"/>
  <c r="AJ8" i="6" s="1"/>
  <c r="CB7" i="6"/>
  <c r="CB8" i="6" s="1"/>
  <c r="DA7" i="6"/>
  <c r="DA8" i="6" s="1"/>
  <c r="AB7" i="6"/>
  <c r="AB8" i="6" s="1"/>
  <c r="AC7" i="6"/>
  <c r="AC8" i="6" s="1"/>
  <c r="X7" i="6"/>
  <c r="X8" i="6" s="1"/>
  <c r="AR7" i="6"/>
  <c r="AR8" i="6" s="1"/>
  <c r="DB7" i="6"/>
  <c r="DB8" i="6" s="1"/>
  <c r="M7" i="6"/>
  <c r="M8" i="6" s="1"/>
  <c r="DC7" i="6"/>
  <c r="DC8" i="6" s="1"/>
  <c r="CZ7" i="6"/>
  <c r="CZ8" i="6" s="1"/>
  <c r="CV7" i="6"/>
  <c r="CV8" i="6" s="1"/>
  <c r="AD7" i="6"/>
  <c r="AD8" i="6" s="1"/>
  <c r="U7" i="6"/>
  <c r="U8" i="6" s="1"/>
  <c r="BX7" i="6"/>
  <c r="BX8" i="6" s="1"/>
  <c r="W7" i="6"/>
  <c r="W8" i="6" s="1"/>
  <c r="BA7" i="6"/>
  <c r="BA8" i="6" s="1"/>
  <c r="CX7" i="6"/>
  <c r="CX8" i="6" s="1"/>
  <c r="BR7" i="6"/>
  <c r="BR8" i="6" s="1"/>
  <c r="AK7" i="6"/>
  <c r="AK8" i="6" s="1"/>
  <c r="AN7" i="6"/>
  <c r="AN8" i="6" s="1"/>
  <c r="DD7" i="6"/>
  <c r="DD8" i="6" s="1"/>
  <c r="CH7" i="6"/>
  <c r="CH8" i="6" s="1"/>
  <c r="CG7" i="6"/>
  <c r="CG8" i="6" s="1"/>
  <c r="AX7" i="6"/>
  <c r="AX8" i="6" s="1"/>
  <c r="AQ7" i="6"/>
  <c r="AQ8" i="6" s="1"/>
  <c r="CE7" i="6"/>
  <c r="CE8" i="6" s="1"/>
  <c r="N7" i="6"/>
  <c r="N8" i="6" s="1"/>
  <c r="BB7" i="6"/>
  <c r="BB8" i="6" s="1"/>
  <c r="AP7" i="6"/>
  <c r="AP8" i="6" s="1"/>
  <c r="BO7" i="6"/>
  <c r="BO8" i="6" s="1"/>
  <c r="CT7" i="6"/>
  <c r="CT8" i="6" s="1"/>
  <c r="BS7" i="6"/>
  <c r="BS8" i="6" s="1"/>
  <c r="BM7" i="6"/>
  <c r="BM8" i="6" s="1"/>
  <c r="BI7" i="6"/>
  <c r="BI8" i="6" s="1"/>
  <c r="BT7" i="6"/>
  <c r="BT8" i="6" s="1"/>
  <c r="Z7" i="6"/>
  <c r="Z8" i="6" s="1"/>
  <c r="BK7" i="6"/>
  <c r="BK8" i="6" s="1"/>
  <c r="CA7" i="6"/>
  <c r="CA8" i="6" s="1"/>
  <c r="BY7" i="6"/>
  <c r="BY8" i="6" s="1"/>
  <c r="AF7" i="6"/>
  <c r="AF8" i="6" s="1"/>
  <c r="BZ7" i="6"/>
  <c r="BZ8" i="6" s="1"/>
  <c r="CN7" i="6"/>
  <c r="CN8" i="6" s="1"/>
  <c r="AM7" i="6"/>
  <c r="AM8" i="6" s="1"/>
  <c r="CJ7" i="6"/>
  <c r="CJ8" i="6" s="1"/>
  <c r="J7" i="6"/>
  <c r="H6" i="6"/>
  <c r="CD7" i="6"/>
  <c r="CD8" i="6" s="1"/>
  <c r="CQ7" i="6"/>
  <c r="CQ8" i="6" s="1"/>
  <c r="T7" i="6"/>
  <c r="T8" i="6" s="1"/>
  <c r="AE7" i="6"/>
  <c r="AE8" i="6" s="1"/>
  <c r="CU7" i="6"/>
  <c r="CU8" i="6" s="1"/>
  <c r="R7" i="6"/>
  <c r="R8" i="6" s="1"/>
  <c r="CL7" i="6"/>
  <c r="CL8" i="6" s="1"/>
  <c r="CS7" i="6"/>
  <c r="CS8" i="6" s="1"/>
  <c r="V7" i="6"/>
  <c r="V8" i="6" s="1"/>
  <c r="BU7" i="6"/>
  <c r="BU8" i="6" s="1"/>
  <c r="AZ7" i="6"/>
  <c r="AZ8" i="6" s="1"/>
  <c r="CI7" i="6"/>
  <c r="CI8" i="6" s="1"/>
  <c r="CC7" i="6"/>
  <c r="CC8" i="6" s="1"/>
  <c r="CP7" i="6"/>
  <c r="CP8" i="6" s="1"/>
  <c r="CM7" i="6"/>
  <c r="CM8" i="6" s="1"/>
  <c r="AG7" i="6"/>
  <c r="AG8" i="6" s="1"/>
  <c r="P7" i="6"/>
  <c r="P8" i="6" s="1"/>
  <c r="AV7" i="6"/>
  <c r="AV8" i="6" s="1"/>
  <c r="AL7" i="6"/>
  <c r="AL8" i="6" s="1"/>
  <c r="L7" i="6"/>
  <c r="L8" i="6" s="1"/>
  <c r="AU7" i="6"/>
  <c r="AU8" i="6" s="1"/>
  <c r="K7" i="6"/>
  <c r="K8" i="6" s="1"/>
  <c r="AO7" i="6"/>
  <c r="AO8" i="6" s="1"/>
  <c r="BC7" i="6"/>
  <c r="BC8" i="6" s="1"/>
  <c r="Q7" i="6"/>
  <c r="Q8" i="6" s="1"/>
  <c r="AI7" i="6"/>
  <c r="AI8" i="6" s="1"/>
  <c r="BH7" i="6"/>
  <c r="BH8" i="6" s="1"/>
  <c r="E8" i="6"/>
  <c r="I10" i="6"/>
  <c r="A9" i="6"/>
  <c r="B9" i="6"/>
  <c r="E7" i="6"/>
  <c r="J8" i="6" l="1"/>
  <c r="H7" i="6"/>
  <c r="C9" i="6"/>
  <c r="U9" i="6" s="1"/>
  <c r="I11" i="6"/>
  <c r="B10" i="6"/>
  <c r="C10" i="6" s="1"/>
  <c r="E10" i="6" s="1"/>
  <c r="A10" i="6"/>
  <c r="U10" i="6" l="1"/>
  <c r="AA9" i="6"/>
  <c r="AA10" i="6" s="1"/>
  <c r="CE9" i="6"/>
  <c r="CE10" i="6" s="1"/>
  <c r="AE9" i="6"/>
  <c r="AE10" i="6" s="1"/>
  <c r="BP9" i="6"/>
  <c r="BP10" i="6" s="1"/>
  <c r="AK9" i="6"/>
  <c r="AK10" i="6" s="1"/>
  <c r="CL9" i="6"/>
  <c r="CL10" i="6" s="1"/>
  <c r="CH9" i="6"/>
  <c r="CH10" i="6" s="1"/>
  <c r="AC9" i="6"/>
  <c r="AC10" i="6" s="1"/>
  <c r="M9" i="6"/>
  <c r="M10" i="6" s="1"/>
  <c r="CR9" i="6"/>
  <c r="CR10" i="6" s="1"/>
  <c r="CJ9" i="6"/>
  <c r="CJ10" i="6" s="1"/>
  <c r="BS9" i="6"/>
  <c r="BS10" i="6" s="1"/>
  <c r="O9" i="6"/>
  <c r="O10" i="6" s="1"/>
  <c r="AV9" i="6"/>
  <c r="AV10" i="6" s="1"/>
  <c r="AJ9" i="6"/>
  <c r="AJ10" i="6" s="1"/>
  <c r="V9" i="6"/>
  <c r="V10" i="6" s="1"/>
  <c r="CM9" i="6"/>
  <c r="CM10" i="6" s="1"/>
  <c r="BZ9" i="6"/>
  <c r="BZ10" i="6" s="1"/>
  <c r="CF9" i="6"/>
  <c r="CF10" i="6" s="1"/>
  <c r="AP9" i="6"/>
  <c r="AP10" i="6" s="1"/>
  <c r="AL9" i="6"/>
  <c r="AL10" i="6" s="1"/>
  <c r="DD9" i="6"/>
  <c r="DD10" i="6" s="1"/>
  <c r="CG9" i="6"/>
  <c r="CG10" i="6" s="1"/>
  <c r="DA9" i="6"/>
  <c r="DA10" i="6" s="1"/>
  <c r="CY9" i="6"/>
  <c r="CY10" i="6" s="1"/>
  <c r="CP9" i="6"/>
  <c r="CP10" i="6" s="1"/>
  <c r="AU9" i="6"/>
  <c r="AU10" i="6" s="1"/>
  <c r="AM9" i="6"/>
  <c r="AM10" i="6" s="1"/>
  <c r="BG9" i="6"/>
  <c r="BG10" i="6" s="1"/>
  <c r="BK9" i="6"/>
  <c r="BK10" i="6" s="1"/>
  <c r="AD9" i="6"/>
  <c r="AD10" i="6" s="1"/>
  <c r="AQ9" i="6"/>
  <c r="AQ10" i="6" s="1"/>
  <c r="Z9" i="6"/>
  <c r="Z10" i="6" s="1"/>
  <c r="BT9" i="6"/>
  <c r="BT10" i="6" s="1"/>
  <c r="BE9" i="6"/>
  <c r="BE10" i="6" s="1"/>
  <c r="BB9" i="6"/>
  <c r="BB10" i="6" s="1"/>
  <c r="R9" i="6"/>
  <c r="R10" i="6" s="1"/>
  <c r="AT9" i="6"/>
  <c r="AT10" i="6" s="1"/>
  <c r="CS9" i="6"/>
  <c r="CS10" i="6" s="1"/>
  <c r="AB9" i="6"/>
  <c r="AB10" i="6" s="1"/>
  <c r="AW9" i="6"/>
  <c r="AW10" i="6" s="1"/>
  <c r="W9" i="6"/>
  <c r="W10" i="6" s="1"/>
  <c r="BR9" i="6"/>
  <c r="BR10" i="6" s="1"/>
  <c r="AF9" i="6"/>
  <c r="AF10" i="6" s="1"/>
  <c r="AS9" i="6"/>
  <c r="AS10" i="6" s="1"/>
  <c r="BY9" i="6"/>
  <c r="BY10" i="6" s="1"/>
  <c r="P9" i="6"/>
  <c r="P10" i="6" s="1"/>
  <c r="BJ9" i="6"/>
  <c r="BJ10" i="6" s="1"/>
  <c r="L9" i="6"/>
  <c r="L10" i="6" s="1"/>
  <c r="E9" i="6"/>
  <c r="AH9" i="6"/>
  <c r="AH10" i="6" s="1"/>
  <c r="BV9" i="6"/>
  <c r="BV10" i="6" s="1"/>
  <c r="BD9" i="6"/>
  <c r="BD10" i="6" s="1"/>
  <c r="AY9" i="6"/>
  <c r="AY10" i="6" s="1"/>
  <c r="CW9" i="6"/>
  <c r="CW10" i="6" s="1"/>
  <c r="CO9" i="6"/>
  <c r="CO10" i="6" s="1"/>
  <c r="BF9" i="6"/>
  <c r="BF10" i="6" s="1"/>
  <c r="J9" i="6"/>
  <c r="H8" i="6"/>
  <c r="CC9" i="6"/>
  <c r="CC10" i="6" s="1"/>
  <c r="AO9" i="6"/>
  <c r="AO10" i="6" s="1"/>
  <c r="CK9" i="6"/>
  <c r="CK10" i="6" s="1"/>
  <c r="AR9" i="6"/>
  <c r="AR10" i="6" s="1"/>
  <c r="CU9" i="6"/>
  <c r="CU10" i="6" s="1"/>
  <c r="BM9" i="6"/>
  <c r="BM10" i="6" s="1"/>
  <c r="CZ9" i="6"/>
  <c r="CZ10" i="6" s="1"/>
  <c r="BQ9" i="6"/>
  <c r="BQ10" i="6" s="1"/>
  <c r="AX9" i="6"/>
  <c r="AX10" i="6" s="1"/>
  <c r="DB9" i="6"/>
  <c r="DB10" i="6" s="1"/>
  <c r="CI9" i="6"/>
  <c r="CI10" i="6" s="1"/>
  <c r="BC9" i="6"/>
  <c r="BC10" i="6" s="1"/>
  <c r="DE9" i="6"/>
  <c r="DE10" i="6" s="1"/>
  <c r="CX9" i="6"/>
  <c r="CX10" i="6" s="1"/>
  <c r="AG9" i="6"/>
  <c r="AG10" i="6" s="1"/>
  <c r="Y9" i="6"/>
  <c r="Y10" i="6" s="1"/>
  <c r="AN9" i="6"/>
  <c r="AN10" i="6" s="1"/>
  <c r="BW9" i="6"/>
  <c r="BW10" i="6" s="1"/>
  <c r="BI9" i="6"/>
  <c r="BI10" i="6" s="1"/>
  <c r="BO9" i="6"/>
  <c r="BO10" i="6" s="1"/>
  <c r="T9" i="6"/>
  <c r="T10" i="6" s="1"/>
  <c r="BL9" i="6"/>
  <c r="BL10" i="6" s="1"/>
  <c r="BX9" i="6"/>
  <c r="BX10" i="6" s="1"/>
  <c r="CQ9" i="6"/>
  <c r="CQ10" i="6" s="1"/>
  <c r="CD9" i="6"/>
  <c r="CD10" i="6" s="1"/>
  <c r="Q9" i="6"/>
  <c r="Q10" i="6" s="1"/>
  <c r="AI9" i="6"/>
  <c r="AI10" i="6" s="1"/>
  <c r="X9" i="6"/>
  <c r="X10" i="6" s="1"/>
  <c r="N9" i="6"/>
  <c r="N10" i="6" s="1"/>
  <c r="BH9" i="6"/>
  <c r="BH10" i="6" s="1"/>
  <c r="BN9" i="6"/>
  <c r="BN10" i="6" s="1"/>
  <c r="CT9" i="6"/>
  <c r="CT10" i="6" s="1"/>
  <c r="CB9" i="6"/>
  <c r="CB10" i="6" s="1"/>
  <c r="AZ9" i="6"/>
  <c r="AZ10" i="6" s="1"/>
  <c r="S9" i="6"/>
  <c r="S10" i="6" s="1"/>
  <c r="BA9" i="6"/>
  <c r="BA10" i="6" s="1"/>
  <c r="CA9" i="6"/>
  <c r="CA10" i="6" s="1"/>
  <c r="BU9" i="6"/>
  <c r="BU10" i="6" s="1"/>
  <c r="DC9" i="6"/>
  <c r="DC10" i="6" s="1"/>
  <c r="CN9" i="6"/>
  <c r="CN10" i="6" s="1"/>
  <c r="CV9" i="6"/>
  <c r="CV10" i="6" s="1"/>
  <c r="K9" i="6"/>
  <c r="K10" i="6" s="1"/>
  <c r="I12" i="6"/>
  <c r="B11" i="6"/>
  <c r="A11" i="6"/>
  <c r="J10" i="6" l="1"/>
  <c r="H9" i="6"/>
  <c r="C11" i="6"/>
  <c r="U11" i="6" s="1"/>
  <c r="I13" i="6"/>
  <c r="A12" i="6"/>
  <c r="B12" i="6"/>
  <c r="CN11" i="6" l="1"/>
  <c r="AM11" i="6"/>
  <c r="Q11" i="6"/>
  <c r="AW11" i="6"/>
  <c r="AB11" i="6"/>
  <c r="CF11" i="6"/>
  <c r="DE11" i="6"/>
  <c r="AE11" i="6"/>
  <c r="AQ11" i="6"/>
  <c r="CR11" i="6"/>
  <c r="CU11" i="6"/>
  <c r="CB11" i="6"/>
  <c r="AP11" i="6"/>
  <c r="BH11" i="6"/>
  <c r="AS11" i="6"/>
  <c r="BV11" i="6"/>
  <c r="CE11" i="6"/>
  <c r="CI11" i="6"/>
  <c r="BM11" i="6"/>
  <c r="AJ11" i="6"/>
  <c r="DD11" i="6"/>
  <c r="BF11" i="6"/>
  <c r="DC11" i="6"/>
  <c r="BD11" i="6"/>
  <c r="CD11" i="6"/>
  <c r="BW11" i="6"/>
  <c r="AU11" i="6"/>
  <c r="K11" i="6"/>
  <c r="AO11" i="6"/>
  <c r="BP11" i="6"/>
  <c r="BI11" i="6"/>
  <c r="DB11" i="6"/>
  <c r="CH11" i="6"/>
  <c r="CC11" i="6"/>
  <c r="AC11" i="6"/>
  <c r="CA11" i="6"/>
  <c r="BU11" i="6"/>
  <c r="CS11" i="6"/>
  <c r="CX11" i="6"/>
  <c r="V11" i="6"/>
  <c r="BN11" i="6"/>
  <c r="BL11" i="6"/>
  <c r="AF11" i="6"/>
  <c r="AZ11" i="6"/>
  <c r="CO11" i="6"/>
  <c r="CJ11" i="6"/>
  <c r="AN11" i="6"/>
  <c r="CL11" i="6"/>
  <c r="AD11" i="6"/>
  <c r="AX11" i="6"/>
  <c r="CG11" i="6"/>
  <c r="J11" i="6"/>
  <c r="H10" i="6"/>
  <c r="N11" i="6"/>
  <c r="BZ11" i="6"/>
  <c r="BR11" i="6"/>
  <c r="T11" i="6"/>
  <c r="BE11" i="6"/>
  <c r="S11" i="6"/>
  <c r="AA11" i="6"/>
  <c r="AT11" i="6"/>
  <c r="Y11" i="6"/>
  <c r="BY11" i="6"/>
  <c r="BK11" i="6"/>
  <c r="CW11" i="6"/>
  <c r="BX11" i="6"/>
  <c r="P11" i="6"/>
  <c r="BS11" i="6"/>
  <c r="CK11" i="6"/>
  <c r="AK11" i="6"/>
  <c r="W11" i="6"/>
  <c r="BQ11" i="6"/>
  <c r="M11" i="6"/>
  <c r="BC11" i="6"/>
  <c r="AV11" i="6"/>
  <c r="AR11" i="6"/>
  <c r="X11" i="6"/>
  <c r="R11" i="6"/>
  <c r="CV11" i="6"/>
  <c r="CM11" i="6"/>
  <c r="AY11" i="6"/>
  <c r="BO11" i="6"/>
  <c r="AL11" i="6"/>
  <c r="AL12" i="6" s="1"/>
  <c r="CQ11" i="6"/>
  <c r="AH11" i="6"/>
  <c r="CP11" i="6"/>
  <c r="O11" i="6"/>
  <c r="DA11" i="6"/>
  <c r="CY11" i="6"/>
  <c r="BB11" i="6"/>
  <c r="AG11" i="6"/>
  <c r="BJ11" i="6"/>
  <c r="BJ12" i="6" s="1"/>
  <c r="L11" i="6"/>
  <c r="AI11" i="6"/>
  <c r="BT11" i="6"/>
  <c r="BG11" i="6"/>
  <c r="CZ11" i="6"/>
  <c r="CT11" i="6"/>
  <c r="Z11" i="6"/>
  <c r="BA11" i="6"/>
  <c r="E11" i="6"/>
  <c r="I14" i="6"/>
  <c r="A13" i="6"/>
  <c r="B13" i="6"/>
  <c r="C13" i="6" s="1"/>
  <c r="E13" i="6" s="1"/>
  <c r="C12" i="6"/>
  <c r="E12" i="6" s="1"/>
  <c r="AA12" i="6" l="1"/>
  <c r="AA13" i="6" s="1"/>
  <c r="BL12" i="6"/>
  <c r="BU12" i="6"/>
  <c r="BU13" i="6" s="1"/>
  <c r="AY12" i="6"/>
  <c r="AY13" i="6" s="1"/>
  <c r="BS12" i="6"/>
  <c r="BS13" i="6" s="1"/>
  <c r="BB12" i="6"/>
  <c r="BB13" i="6" s="1"/>
  <c r="U12" i="6"/>
  <c r="U13" i="6" s="1"/>
  <c r="CO12" i="6"/>
  <c r="CO13" i="6" s="1"/>
  <c r="S12" i="6"/>
  <c r="S13" i="6" s="1"/>
  <c r="O12" i="6"/>
  <c r="O13" i="6" s="1"/>
  <c r="AG12" i="6"/>
  <c r="AG13" i="6" s="1"/>
  <c r="DA12" i="6"/>
  <c r="DA13" i="6" s="1"/>
  <c r="CP12" i="6"/>
  <c r="CP13" i="6" s="1"/>
  <c r="CT12" i="6"/>
  <c r="CT13" i="6" s="1"/>
  <c r="AR12" i="6"/>
  <c r="AR13" i="6" s="1"/>
  <c r="BO12" i="6"/>
  <c r="BO13" i="6" s="1"/>
  <c r="BA12" i="6"/>
  <c r="BA13" i="6" s="1"/>
  <c r="BG12" i="6"/>
  <c r="BG13" i="6" s="1"/>
  <c r="AV12" i="6"/>
  <c r="AV13" i="6" s="1"/>
  <c r="Z12" i="6"/>
  <c r="Z13" i="6" s="1"/>
  <c r="BT12" i="6"/>
  <c r="BT13" i="6" s="1"/>
  <c r="BC12" i="6"/>
  <c r="BC13" i="6" s="1"/>
  <c r="Q12" i="6"/>
  <c r="Q13" i="6" s="1"/>
  <c r="CY12" i="6"/>
  <c r="CY13" i="6" s="1"/>
  <c r="DD12" i="6"/>
  <c r="DD13" i="6" s="1"/>
  <c r="AI12" i="6"/>
  <c r="AI13" i="6" s="1"/>
  <c r="AM12" i="6"/>
  <c r="AM13" i="6" s="1"/>
  <c r="M12" i="6"/>
  <c r="J12" i="6"/>
  <c r="H11" i="6"/>
  <c r="CJ12" i="6"/>
  <c r="CJ13" i="6" s="1"/>
  <c r="CB12" i="6"/>
  <c r="CB13" i="6" s="1"/>
  <c r="BL13" i="6"/>
  <c r="L12" i="6"/>
  <c r="L13" i="6" s="1"/>
  <c r="DE12" i="6"/>
  <c r="DE13" i="6" s="1"/>
  <c r="CS12" i="6"/>
  <c r="CS13" i="6" s="1"/>
  <c r="BH12" i="6"/>
  <c r="BH13" i="6" s="1"/>
  <c r="CU12" i="6"/>
  <c r="CU13" i="6" s="1"/>
  <c r="BP12" i="6"/>
  <c r="BP13" i="6" s="1"/>
  <c r="CE12" i="6"/>
  <c r="CE13" i="6" s="1"/>
  <c r="AQ12" i="6"/>
  <c r="AQ13" i="6" s="1"/>
  <c r="BJ13" i="6"/>
  <c r="AO12" i="6"/>
  <c r="AO13" i="6" s="1"/>
  <c r="CR12" i="6"/>
  <c r="CR13" i="6" s="1"/>
  <c r="AJ12" i="6"/>
  <c r="AJ13" i="6" s="1"/>
  <c r="BM12" i="6"/>
  <c r="BM13" i="6" s="1"/>
  <c r="CG12" i="6"/>
  <c r="CG13" i="6" s="1"/>
  <c r="BW12" i="6"/>
  <c r="BW13" i="6" s="1"/>
  <c r="CA12" i="6"/>
  <c r="CA13" i="6" s="1"/>
  <c r="CQ12" i="6"/>
  <c r="CQ13" i="6" s="1"/>
  <c r="CN12" i="6"/>
  <c r="CN13" i="6" s="1"/>
  <c r="AC12" i="6"/>
  <c r="AC13" i="6" s="1"/>
  <c r="CX12" i="6"/>
  <c r="CX13" i="6" s="1"/>
  <c r="AX12" i="6"/>
  <c r="AX13" i="6" s="1"/>
  <c r="CD12" i="6"/>
  <c r="CD13" i="6" s="1"/>
  <c r="V12" i="6"/>
  <c r="V13" i="6" s="1"/>
  <c r="AL13" i="6"/>
  <c r="BF12" i="6"/>
  <c r="BF13" i="6" s="1"/>
  <c r="P12" i="6"/>
  <c r="P13" i="6" s="1"/>
  <c r="BE12" i="6"/>
  <c r="BE13" i="6" s="1"/>
  <c r="AD12" i="6"/>
  <c r="AD13" i="6" s="1"/>
  <c r="BD12" i="6"/>
  <c r="BD13" i="6" s="1"/>
  <c r="DB12" i="6"/>
  <c r="DB13" i="6" s="1"/>
  <c r="BX12" i="6"/>
  <c r="BX13" i="6" s="1"/>
  <c r="T12" i="6"/>
  <c r="T13" i="6" s="1"/>
  <c r="CL12" i="6"/>
  <c r="CL13" i="6" s="1"/>
  <c r="CC12" i="6"/>
  <c r="CC13" i="6" s="1"/>
  <c r="AP12" i="6"/>
  <c r="AP13" i="6" s="1"/>
  <c r="M13" i="6"/>
  <c r="CW12" i="6"/>
  <c r="CW13" i="6" s="1"/>
  <c r="BR12" i="6"/>
  <c r="BR13" i="6" s="1"/>
  <c r="AN12" i="6"/>
  <c r="AN13" i="6" s="1"/>
  <c r="AZ12" i="6"/>
  <c r="AZ13" i="6" s="1"/>
  <c r="AS12" i="6"/>
  <c r="AS13" i="6" s="1"/>
  <c r="CM12" i="6"/>
  <c r="CM13" i="6" s="1"/>
  <c r="BQ12" i="6"/>
  <c r="BQ13" i="6" s="1"/>
  <c r="BK12" i="6"/>
  <c r="BK13" i="6" s="1"/>
  <c r="BZ12" i="6"/>
  <c r="BZ13" i="6" s="1"/>
  <c r="K12" i="6"/>
  <c r="K13" i="6" s="1"/>
  <c r="AF12" i="6"/>
  <c r="AF13" i="6" s="1"/>
  <c r="CI12" i="6"/>
  <c r="CI13" i="6" s="1"/>
  <c r="CV12" i="6"/>
  <c r="CV13" i="6" s="1"/>
  <c r="W12" i="6"/>
  <c r="W13" i="6" s="1"/>
  <c r="BY12" i="6"/>
  <c r="BY13" i="6" s="1"/>
  <c r="N12" i="6"/>
  <c r="N13" i="6" s="1"/>
  <c r="BV12" i="6"/>
  <c r="BV13" i="6" s="1"/>
  <c r="CH12" i="6"/>
  <c r="CH13" i="6" s="1"/>
  <c r="BI12" i="6"/>
  <c r="BI13" i="6" s="1"/>
  <c r="CZ12" i="6"/>
  <c r="CZ13" i="6" s="1"/>
  <c r="AH12" i="6"/>
  <c r="AH13" i="6" s="1"/>
  <c r="R12" i="6"/>
  <c r="R13" i="6" s="1"/>
  <c r="AK12" i="6"/>
  <c r="AK13" i="6" s="1"/>
  <c r="Y12" i="6"/>
  <c r="Y13" i="6" s="1"/>
  <c r="CF12" i="6"/>
  <c r="CF13" i="6" s="1"/>
  <c r="AB12" i="6"/>
  <c r="AB13" i="6" s="1"/>
  <c r="AU12" i="6"/>
  <c r="AU13" i="6" s="1"/>
  <c r="AW12" i="6"/>
  <c r="AW13" i="6" s="1"/>
  <c r="X12" i="6"/>
  <c r="X13" i="6" s="1"/>
  <c r="CK12" i="6"/>
  <c r="CK13" i="6" s="1"/>
  <c r="AT12" i="6"/>
  <c r="AT13" i="6" s="1"/>
  <c r="BN12" i="6"/>
  <c r="BN13" i="6" s="1"/>
  <c r="AE12" i="6"/>
  <c r="AE13" i="6" s="1"/>
  <c r="DC12" i="6"/>
  <c r="DC13" i="6" s="1"/>
  <c r="I15" i="6"/>
  <c r="A14" i="6"/>
  <c r="B14" i="6"/>
  <c r="C14" i="6" s="1"/>
  <c r="E14" i="6" s="1"/>
  <c r="AF14" i="6" l="1"/>
  <c r="X14" i="6"/>
  <c r="CT14" i="6"/>
  <c r="CI14" i="6"/>
  <c r="DD14" i="6"/>
  <c r="BR14" i="6"/>
  <c r="DE14" i="6"/>
  <c r="CZ14" i="6"/>
  <c r="BM14" i="6"/>
  <c r="CD14" i="6"/>
  <c r="AX14" i="6"/>
  <c r="AW14" i="6"/>
  <c r="BO14" i="6"/>
  <c r="AN14" i="6"/>
  <c r="L14" i="6"/>
  <c r="BG14" i="6"/>
  <c r="DA14" i="6"/>
  <c r="CW14" i="6"/>
  <c r="DB14" i="6"/>
  <c r="CX14" i="6"/>
  <c r="CR14" i="6"/>
  <c r="BL14" i="6"/>
  <c r="AJ14" i="6"/>
  <c r="K14" i="6"/>
  <c r="BA14" i="6"/>
  <c r="AI14" i="6"/>
  <c r="BZ14" i="6"/>
  <c r="M14" i="6"/>
  <c r="BD14" i="6"/>
  <c r="AC14" i="6"/>
  <c r="AO14" i="6"/>
  <c r="Q14" i="6"/>
  <c r="BI14" i="6"/>
  <c r="BK14" i="6"/>
  <c r="AY14" i="6"/>
  <c r="AD14" i="6"/>
  <c r="CN14" i="6"/>
  <c r="BJ14" i="6"/>
  <c r="U14" i="6"/>
  <c r="AU14" i="6"/>
  <c r="CH14" i="6"/>
  <c r="BQ14" i="6"/>
  <c r="BT14" i="6"/>
  <c r="BE14" i="6"/>
  <c r="CQ14" i="6"/>
  <c r="S14" i="6"/>
  <c r="CB14" i="6"/>
  <c r="BV14" i="6"/>
  <c r="CM14" i="6"/>
  <c r="AP14" i="6"/>
  <c r="P14" i="6"/>
  <c r="AG14" i="6"/>
  <c r="AQ14" i="6"/>
  <c r="CJ14" i="6"/>
  <c r="CF14" i="6"/>
  <c r="N14" i="6"/>
  <c r="O14" i="6"/>
  <c r="CC14" i="6"/>
  <c r="BF14" i="6"/>
  <c r="CO14" i="6"/>
  <c r="CE14" i="6"/>
  <c r="DC14" i="6"/>
  <c r="AE14" i="6"/>
  <c r="Y14" i="6"/>
  <c r="BY14" i="6"/>
  <c r="Z14" i="6"/>
  <c r="CL14" i="6"/>
  <c r="AL14" i="6"/>
  <c r="AM14" i="6"/>
  <c r="BP14" i="6"/>
  <c r="J13" i="6"/>
  <c r="H12" i="6"/>
  <c r="CY14" i="6"/>
  <c r="BN14" i="6"/>
  <c r="AK14" i="6"/>
  <c r="W14" i="6"/>
  <c r="BU14" i="6"/>
  <c r="T14" i="6"/>
  <c r="BB14" i="6"/>
  <c r="CA14" i="6"/>
  <c r="CU14" i="6"/>
  <c r="AA14" i="6"/>
  <c r="AT14" i="6"/>
  <c r="R14" i="6"/>
  <c r="R15" i="6" s="1"/>
  <c r="CV14" i="6"/>
  <c r="AS14" i="6"/>
  <c r="BX14" i="6"/>
  <c r="AV14" i="6"/>
  <c r="BW14" i="6"/>
  <c r="BH14" i="6"/>
  <c r="BS14" i="6"/>
  <c r="AB14" i="6"/>
  <c r="CK14" i="6"/>
  <c r="AH14" i="6"/>
  <c r="CP14" i="6"/>
  <c r="CP15" i="6" s="1"/>
  <c r="AZ14" i="6"/>
  <c r="AZ15" i="6" s="1"/>
  <c r="BC14" i="6"/>
  <c r="V14" i="6"/>
  <c r="CG14" i="6"/>
  <c r="CS14" i="6"/>
  <c r="AR14" i="6"/>
  <c r="I16" i="6"/>
  <c r="A15" i="6"/>
  <c r="B15" i="6"/>
  <c r="C15" i="6" s="1"/>
  <c r="E15" i="6" s="1"/>
  <c r="AV15" i="6" l="1"/>
  <c r="CG15" i="6"/>
  <c r="BN15" i="6"/>
  <c r="CV15" i="6"/>
  <c r="Y15" i="6"/>
  <c r="AJ15" i="6"/>
  <c r="BK15" i="6"/>
  <c r="CL15" i="6"/>
  <c r="BE15" i="6"/>
  <c r="CI15" i="6"/>
  <c r="BU15" i="6"/>
  <c r="BT15" i="6"/>
  <c r="AH15" i="6"/>
  <c r="AT15" i="6"/>
  <c r="CT15" i="6"/>
  <c r="DC15" i="6"/>
  <c r="AQ15" i="6"/>
  <c r="BQ15" i="6"/>
  <c r="BR15" i="6"/>
  <c r="BL15" i="6"/>
  <c r="CJ15" i="6"/>
  <c r="BI15" i="6"/>
  <c r="CD15" i="6"/>
  <c r="CK15" i="6"/>
  <c r="AX15" i="6"/>
  <c r="AN15" i="6"/>
  <c r="DE15" i="6"/>
  <c r="AG15" i="6"/>
  <c r="CH15" i="6"/>
  <c r="Q15" i="6"/>
  <c r="CR15" i="6"/>
  <c r="CE15" i="6"/>
  <c r="P15" i="6"/>
  <c r="AU15" i="6"/>
  <c r="AO15" i="6"/>
  <c r="CX15" i="6"/>
  <c r="CY15" i="6"/>
  <c r="AB15" i="6"/>
  <c r="BM15" i="6"/>
  <c r="CU15" i="6"/>
  <c r="J14" i="6"/>
  <c r="H13" i="6"/>
  <c r="CO15" i="6"/>
  <c r="AP15" i="6"/>
  <c r="BO15" i="6"/>
  <c r="AC15" i="6"/>
  <c r="DB15" i="6"/>
  <c r="AE15" i="6"/>
  <c r="AA15" i="6"/>
  <c r="BS15" i="6"/>
  <c r="CA15" i="6"/>
  <c r="BP15" i="6"/>
  <c r="BF15" i="6"/>
  <c r="CM15" i="6"/>
  <c r="X15" i="6"/>
  <c r="BD15" i="6"/>
  <c r="CW15" i="6"/>
  <c r="AR15" i="6"/>
  <c r="BH15" i="6"/>
  <c r="BB15" i="6"/>
  <c r="AM15" i="6"/>
  <c r="CC15" i="6"/>
  <c r="BV15" i="6"/>
  <c r="U15" i="6"/>
  <c r="M15" i="6"/>
  <c r="DA15" i="6"/>
  <c r="CS15" i="6"/>
  <c r="BW15" i="6"/>
  <c r="T15" i="6"/>
  <c r="AL15" i="6"/>
  <c r="O15" i="6"/>
  <c r="AF15" i="6"/>
  <c r="AF16" i="6" s="1"/>
  <c r="BJ15" i="6"/>
  <c r="BZ15" i="6"/>
  <c r="BG15" i="6"/>
  <c r="CB15" i="6"/>
  <c r="AI15" i="6"/>
  <c r="V15" i="6"/>
  <c r="BX15" i="6"/>
  <c r="W15" i="6"/>
  <c r="Z15" i="6"/>
  <c r="Z16" i="6" s="1"/>
  <c r="CF15" i="6"/>
  <c r="CF16" i="6" s="1"/>
  <c r="S15" i="6"/>
  <c r="AD15" i="6"/>
  <c r="BA15" i="6"/>
  <c r="DD15" i="6"/>
  <c r="N15" i="6"/>
  <c r="CN15" i="6"/>
  <c r="L15" i="6"/>
  <c r="BC15" i="6"/>
  <c r="BC16" i="6" s="1"/>
  <c r="AS15" i="6"/>
  <c r="AK15" i="6"/>
  <c r="AK16" i="6" s="1"/>
  <c r="BY15" i="6"/>
  <c r="BY16" i="6" s="1"/>
  <c r="AW15" i="6"/>
  <c r="AW16" i="6" s="1"/>
  <c r="CQ15" i="6"/>
  <c r="CQ16" i="6" s="1"/>
  <c r="AY15" i="6"/>
  <c r="AY16" i="6" s="1"/>
  <c r="K15" i="6"/>
  <c r="CZ15" i="6"/>
  <c r="I17" i="6"/>
  <c r="B16" i="6"/>
  <c r="C16" i="6" s="1"/>
  <c r="E16" i="6" s="1"/>
  <c r="A16" i="6"/>
  <c r="BB16" i="6" l="1"/>
  <c r="K16" i="6"/>
  <c r="AM16" i="6"/>
  <c r="BS16" i="6"/>
  <c r="O16" i="6"/>
  <c r="W16" i="6"/>
  <c r="AS16" i="6"/>
  <c r="BX16" i="6"/>
  <c r="AJ16" i="6"/>
  <c r="BK16" i="6"/>
  <c r="CR16" i="6"/>
  <c r="BL16" i="6"/>
  <c r="CU16" i="6"/>
  <c r="CA16" i="6"/>
  <c r="J15" i="6"/>
  <c r="H14" i="6"/>
  <c r="AL16" i="6"/>
  <c r="BH16" i="6"/>
  <c r="AA16" i="6"/>
  <c r="BM16" i="6"/>
  <c r="Q16" i="6"/>
  <c r="BR16" i="6"/>
  <c r="T16" i="6"/>
  <c r="AR16" i="6"/>
  <c r="AE16" i="6"/>
  <c r="AB16" i="6"/>
  <c r="CH16" i="6"/>
  <c r="BQ16" i="6"/>
  <c r="L16" i="6"/>
  <c r="V16" i="6"/>
  <c r="BW16" i="6"/>
  <c r="CP16" i="6"/>
  <c r="BE16" i="6"/>
  <c r="CY16" i="6"/>
  <c r="AG16" i="6"/>
  <c r="AQ16" i="6"/>
  <c r="CN16" i="6"/>
  <c r="AI16" i="6"/>
  <c r="CS16" i="6"/>
  <c r="AZ16" i="6"/>
  <c r="CG16" i="6"/>
  <c r="CI16" i="6"/>
  <c r="DE16" i="6"/>
  <c r="DC16" i="6"/>
  <c r="N16" i="6"/>
  <c r="CB16" i="6"/>
  <c r="Y16" i="6"/>
  <c r="CW16" i="6"/>
  <c r="DB16" i="6"/>
  <c r="BN16" i="6"/>
  <c r="AN16" i="6"/>
  <c r="CT16" i="6"/>
  <c r="CZ16" i="6"/>
  <c r="BU16" i="6"/>
  <c r="CL16" i="6"/>
  <c r="DA16" i="6"/>
  <c r="BD16" i="6"/>
  <c r="AC16" i="6"/>
  <c r="CX16" i="6"/>
  <c r="AX16" i="6"/>
  <c r="AT16" i="6"/>
  <c r="DD16" i="6"/>
  <c r="AV16" i="6"/>
  <c r="M16" i="6"/>
  <c r="X16" i="6"/>
  <c r="BO16" i="6"/>
  <c r="AO16" i="6"/>
  <c r="CK16" i="6"/>
  <c r="AH16" i="6"/>
  <c r="BA16" i="6"/>
  <c r="BG16" i="6"/>
  <c r="U16" i="6"/>
  <c r="CM16" i="6"/>
  <c r="AP16" i="6"/>
  <c r="AU16" i="6"/>
  <c r="CD16" i="6"/>
  <c r="BT16" i="6"/>
  <c r="AD16" i="6"/>
  <c r="BZ16" i="6"/>
  <c r="BV16" i="6"/>
  <c r="BF16" i="6"/>
  <c r="CO16" i="6"/>
  <c r="P16" i="6"/>
  <c r="BI16" i="6"/>
  <c r="R16" i="6"/>
  <c r="S16" i="6"/>
  <c r="BJ16" i="6"/>
  <c r="CC16" i="6"/>
  <c r="BP16" i="6"/>
  <c r="CE16" i="6"/>
  <c r="CJ16" i="6"/>
  <c r="CV16" i="6"/>
  <c r="I18" i="6"/>
  <c r="A17" i="6"/>
  <c r="B17" i="6"/>
  <c r="J16" i="6" l="1"/>
  <c r="H15" i="6"/>
  <c r="C17" i="6"/>
  <c r="CK17" i="6" s="1"/>
  <c r="I19" i="6"/>
  <c r="A18" i="6"/>
  <c r="B18" i="6"/>
  <c r="C18" i="6" s="1"/>
  <c r="E18" i="6" s="1"/>
  <c r="DC17" i="6" l="1"/>
  <c r="BG17" i="6"/>
  <c r="U17" i="6"/>
  <c r="BZ17" i="6"/>
  <c r="BZ18" i="6" s="1"/>
  <c r="BF17" i="6"/>
  <c r="Q17" i="6"/>
  <c r="Q18" i="6" s="1"/>
  <c r="BQ17" i="6"/>
  <c r="BQ18" i="6" s="1"/>
  <c r="N17" i="6"/>
  <c r="N18" i="6" s="1"/>
  <c r="M17" i="6"/>
  <c r="M18" i="6" s="1"/>
  <c r="BP17" i="6"/>
  <c r="BP18" i="6" s="1"/>
  <c r="CN17" i="6"/>
  <c r="CN18" i="6" s="1"/>
  <c r="CL17" i="6"/>
  <c r="CL18" i="6" s="1"/>
  <c r="CC17" i="6"/>
  <c r="CC18" i="6" s="1"/>
  <c r="CV17" i="6"/>
  <c r="CV18" i="6" s="1"/>
  <c r="Y17" i="6"/>
  <c r="CY17" i="6"/>
  <c r="CY18" i="6" s="1"/>
  <c r="BD17" i="6"/>
  <c r="Y18" i="6"/>
  <c r="U18" i="6"/>
  <c r="AH17" i="6"/>
  <c r="AH18" i="6" s="1"/>
  <c r="CK18" i="6"/>
  <c r="CJ17" i="6"/>
  <c r="CJ18" i="6" s="1"/>
  <c r="L17" i="6"/>
  <c r="L18" i="6" s="1"/>
  <c r="V17" i="6"/>
  <c r="V18" i="6" s="1"/>
  <c r="CS17" i="6"/>
  <c r="CS18" i="6" s="1"/>
  <c r="DC18" i="6"/>
  <c r="BH17" i="6"/>
  <c r="BH18" i="6" s="1"/>
  <c r="DB17" i="6"/>
  <c r="DB18" i="6" s="1"/>
  <c r="BF18" i="6"/>
  <c r="AP17" i="6"/>
  <c r="AP18" i="6" s="1"/>
  <c r="BO17" i="6"/>
  <c r="BO18" i="6" s="1"/>
  <c r="CX17" i="6"/>
  <c r="CX18" i="6" s="1"/>
  <c r="BG18" i="6"/>
  <c r="CA17" i="6"/>
  <c r="CA18" i="6" s="1"/>
  <c r="AY17" i="6"/>
  <c r="AY18" i="6" s="1"/>
  <c r="CU17" i="6"/>
  <c r="CU18" i="6" s="1"/>
  <c r="AJ17" i="6"/>
  <c r="AJ18" i="6" s="1"/>
  <c r="BL17" i="6"/>
  <c r="BL18" i="6" s="1"/>
  <c r="BC17" i="6"/>
  <c r="BC18" i="6" s="1"/>
  <c r="K17" i="6"/>
  <c r="K18" i="6" s="1"/>
  <c r="BY17" i="6"/>
  <c r="BY18" i="6" s="1"/>
  <c r="BS17" i="6"/>
  <c r="BS18" i="6" s="1"/>
  <c r="BX17" i="6"/>
  <c r="BX18" i="6" s="1"/>
  <c r="BB17" i="6"/>
  <c r="BB18" i="6" s="1"/>
  <c r="AF17" i="6"/>
  <c r="AF18" i="6" s="1"/>
  <c r="CF17" i="6"/>
  <c r="CF18" i="6" s="1"/>
  <c r="CR17" i="6"/>
  <c r="CR18" i="6" s="1"/>
  <c r="CQ17" i="6"/>
  <c r="CQ18" i="6" s="1"/>
  <c r="O17" i="6"/>
  <c r="O18" i="6" s="1"/>
  <c r="W17" i="6"/>
  <c r="W18" i="6" s="1"/>
  <c r="AM17" i="6"/>
  <c r="AM18" i="6" s="1"/>
  <c r="Z17" i="6"/>
  <c r="Z18" i="6" s="1"/>
  <c r="AW17" i="6"/>
  <c r="AW18" i="6" s="1"/>
  <c r="BK17" i="6"/>
  <c r="BK18" i="6" s="1"/>
  <c r="AS17" i="6"/>
  <c r="AS18" i="6" s="1"/>
  <c r="AK17" i="6"/>
  <c r="AK18" i="6" s="1"/>
  <c r="CO17" i="6"/>
  <c r="CO18" i="6" s="1"/>
  <c r="BJ17" i="6"/>
  <c r="BJ18" i="6" s="1"/>
  <c r="BM17" i="6"/>
  <c r="BM18" i="6" s="1"/>
  <c r="BR17" i="6"/>
  <c r="BR18" i="6" s="1"/>
  <c r="AX17" i="6"/>
  <c r="AX18" i="6" s="1"/>
  <c r="CE17" i="6"/>
  <c r="CE18" i="6" s="1"/>
  <c r="CD17" i="6"/>
  <c r="CD18" i="6" s="1"/>
  <c r="AL17" i="6"/>
  <c r="AL18" i="6" s="1"/>
  <c r="CB17" i="6"/>
  <c r="CB18" i="6" s="1"/>
  <c r="AI17" i="6"/>
  <c r="AI18" i="6" s="1"/>
  <c r="BW17" i="6"/>
  <c r="BW18" i="6" s="1"/>
  <c r="BD18" i="6"/>
  <c r="CH17" i="6"/>
  <c r="CH18" i="6" s="1"/>
  <c r="AQ17" i="6"/>
  <c r="AQ18" i="6" s="1"/>
  <c r="BU17" i="6"/>
  <c r="BU18" i="6" s="1"/>
  <c r="AB17" i="6"/>
  <c r="AB18" i="6" s="1"/>
  <c r="DA17" i="6"/>
  <c r="DA18" i="6" s="1"/>
  <c r="CW17" i="6"/>
  <c r="CW18" i="6" s="1"/>
  <c r="CG17" i="6"/>
  <c r="CG18" i="6" s="1"/>
  <c r="AV17" i="6"/>
  <c r="AV18" i="6" s="1"/>
  <c r="CP17" i="6"/>
  <c r="CP18" i="6" s="1"/>
  <c r="P17" i="6"/>
  <c r="P18" i="6" s="1"/>
  <c r="X17" i="6"/>
  <c r="X18" i="6" s="1"/>
  <c r="AC17" i="6"/>
  <c r="AC18" i="6" s="1"/>
  <c r="AN17" i="6"/>
  <c r="AN18" i="6" s="1"/>
  <c r="J17" i="6"/>
  <c r="H16" i="6"/>
  <c r="T17" i="6"/>
  <c r="T18" i="6" s="1"/>
  <c r="CM17" i="6"/>
  <c r="CM18" i="6" s="1"/>
  <c r="BI17" i="6"/>
  <c r="BI18" i="6" s="1"/>
  <c r="CI17" i="6"/>
  <c r="CI18" i="6" s="1"/>
  <c r="S17" i="6"/>
  <c r="S18" i="6" s="1"/>
  <c r="CZ17" i="6"/>
  <c r="CZ18" i="6" s="1"/>
  <c r="AZ17" i="6"/>
  <c r="AZ18" i="6" s="1"/>
  <c r="AU17" i="6"/>
  <c r="AU18" i="6" s="1"/>
  <c r="AO17" i="6"/>
  <c r="AO18" i="6" s="1"/>
  <c r="AT17" i="6"/>
  <c r="AT18" i="6" s="1"/>
  <c r="AR17" i="6"/>
  <c r="AR18" i="6" s="1"/>
  <c r="BE17" i="6"/>
  <c r="BE18" i="6" s="1"/>
  <c r="BN17" i="6"/>
  <c r="BN18" i="6" s="1"/>
  <c r="DE17" i="6"/>
  <c r="DE18" i="6" s="1"/>
  <c r="BA17" i="6"/>
  <c r="BA18" i="6" s="1"/>
  <c r="BV17" i="6"/>
  <c r="BV18" i="6" s="1"/>
  <c r="AG17" i="6"/>
  <c r="AG18" i="6" s="1"/>
  <c r="CT17" i="6"/>
  <c r="CT18" i="6" s="1"/>
  <c r="AE17" i="6"/>
  <c r="AE18" i="6" s="1"/>
  <c r="AE19" i="6" s="1"/>
  <c r="DD17" i="6"/>
  <c r="DD18" i="6" s="1"/>
  <c r="AA17" i="6"/>
  <c r="AA18" i="6" s="1"/>
  <c r="R17" i="6"/>
  <c r="R18" i="6" s="1"/>
  <c r="BT17" i="6"/>
  <c r="BT18" i="6" s="1"/>
  <c r="AD17" i="6"/>
  <c r="AD18" i="6" s="1"/>
  <c r="E17" i="6"/>
  <c r="I20" i="6"/>
  <c r="A19" i="6"/>
  <c r="B19" i="6"/>
  <c r="C19" i="6" s="1"/>
  <c r="E19" i="6" s="1"/>
  <c r="AG19" i="6" l="1"/>
  <c r="BA19" i="6"/>
  <c r="CX19" i="6"/>
  <c r="AW19" i="6"/>
  <c r="BY19" i="6"/>
  <c r="CE19" i="6"/>
  <c r="AB19" i="6"/>
  <c r="AO19" i="6"/>
  <c r="V19" i="6"/>
  <c r="CT19" i="6"/>
  <c r="AU19" i="6"/>
  <c r="AH19" i="6"/>
  <c r="BU19" i="6"/>
  <c r="M19" i="6"/>
  <c r="Z19" i="6"/>
  <c r="K19" i="6"/>
  <c r="BO19" i="6"/>
  <c r="AZ19" i="6"/>
  <c r="AN19" i="6"/>
  <c r="AQ19" i="6"/>
  <c r="L19" i="6"/>
  <c r="AM19" i="6"/>
  <c r="BC19" i="6"/>
  <c r="AP19" i="6"/>
  <c r="BV19" i="6"/>
  <c r="CZ19" i="6"/>
  <c r="AC19" i="6"/>
  <c r="CH19" i="6"/>
  <c r="BQ19" i="6"/>
  <c r="W19" i="6"/>
  <c r="BL19" i="6"/>
  <c r="BF19" i="6"/>
  <c r="S19" i="6"/>
  <c r="X19" i="6"/>
  <c r="BD19" i="6"/>
  <c r="AX19" i="6"/>
  <c r="O19" i="6"/>
  <c r="AJ19" i="6"/>
  <c r="BP19" i="6"/>
  <c r="DE19" i="6"/>
  <c r="CI19" i="6"/>
  <c r="P19" i="6"/>
  <c r="CJ19" i="6"/>
  <c r="BR19" i="6"/>
  <c r="CQ19" i="6"/>
  <c r="CU19" i="6"/>
  <c r="Q19" i="6"/>
  <c r="BN19" i="6"/>
  <c r="BI19" i="6"/>
  <c r="CP19" i="6"/>
  <c r="BZ19" i="6"/>
  <c r="BM19" i="6"/>
  <c r="CR19" i="6"/>
  <c r="AY19" i="6"/>
  <c r="DB19" i="6"/>
  <c r="BE19" i="6"/>
  <c r="CM19" i="6"/>
  <c r="AV19" i="6"/>
  <c r="BW19" i="6"/>
  <c r="BJ19" i="6"/>
  <c r="CF19" i="6"/>
  <c r="CA19" i="6"/>
  <c r="DC19" i="6"/>
  <c r="BT19" i="6"/>
  <c r="AR19" i="6"/>
  <c r="T19" i="6"/>
  <c r="CN19" i="6"/>
  <c r="AI19" i="6"/>
  <c r="CO19" i="6"/>
  <c r="AF19" i="6"/>
  <c r="CV19" i="6"/>
  <c r="CY19" i="6"/>
  <c r="CG19" i="6"/>
  <c r="CB19" i="6"/>
  <c r="AK19" i="6"/>
  <c r="BB19" i="6"/>
  <c r="BG19" i="6"/>
  <c r="CS19" i="6"/>
  <c r="AD19" i="6"/>
  <c r="AA19" i="6"/>
  <c r="U19" i="6"/>
  <c r="J18" i="6"/>
  <c r="H17" i="6"/>
  <c r="CW19" i="6"/>
  <c r="AL19" i="6"/>
  <c r="AS19" i="6"/>
  <c r="BX19" i="6"/>
  <c r="CC19" i="6"/>
  <c r="N19" i="6"/>
  <c r="R19" i="6"/>
  <c r="BH19" i="6"/>
  <c r="DD19" i="6"/>
  <c r="AT19" i="6"/>
  <c r="CL19" i="6"/>
  <c r="DA19" i="6"/>
  <c r="CD19" i="6"/>
  <c r="BK19" i="6"/>
  <c r="BS19" i="6"/>
  <c r="Y19" i="6"/>
  <c r="CK19" i="6"/>
  <c r="I21" i="6"/>
  <c r="A20" i="6"/>
  <c r="B20" i="6"/>
  <c r="C20" i="6" s="1"/>
  <c r="E20" i="6" s="1"/>
  <c r="DA20" i="6" l="1"/>
  <c r="CL20" i="6"/>
  <c r="CG20" i="6"/>
  <c r="DD20" i="6"/>
  <c r="CA20" i="6"/>
  <c r="CW20" i="6"/>
  <c r="AT20" i="6"/>
  <c r="U20" i="6"/>
  <c r="AD20" i="6"/>
  <c r="AN20" i="6"/>
  <c r="W20" i="6"/>
  <c r="DE20" i="6"/>
  <c r="BZ20" i="6"/>
  <c r="CX20" i="6"/>
  <c r="CF20" i="6"/>
  <c r="CP20" i="6"/>
  <c r="AG20" i="6"/>
  <c r="BQ20" i="6"/>
  <c r="AZ20" i="6"/>
  <c r="J19" i="6"/>
  <c r="H18" i="6"/>
  <c r="CY20" i="6"/>
  <c r="BJ20" i="6"/>
  <c r="BI20" i="6"/>
  <c r="BP20" i="6"/>
  <c r="CH20" i="6"/>
  <c r="AE20" i="6"/>
  <c r="CV20" i="6"/>
  <c r="BW20" i="6"/>
  <c r="BN20" i="6"/>
  <c r="AJ20" i="6"/>
  <c r="AC20" i="6"/>
  <c r="BO20" i="6"/>
  <c r="BH20" i="6"/>
  <c r="AA20" i="6"/>
  <c r="AF20" i="6"/>
  <c r="AV20" i="6"/>
  <c r="AW20" i="6"/>
  <c r="O20" i="6"/>
  <c r="CZ20" i="6"/>
  <c r="K20" i="6"/>
  <c r="CM20" i="6"/>
  <c r="Q20" i="6"/>
  <c r="AX20" i="6"/>
  <c r="BV20" i="6"/>
  <c r="Z20" i="6"/>
  <c r="R20" i="6"/>
  <c r="CO20" i="6"/>
  <c r="BY20" i="6"/>
  <c r="AB20" i="6"/>
  <c r="AI20" i="6"/>
  <c r="BE20" i="6"/>
  <c r="CU20" i="6"/>
  <c r="BD20" i="6"/>
  <c r="CE20" i="6"/>
  <c r="M20" i="6"/>
  <c r="N20" i="6"/>
  <c r="CS20" i="6"/>
  <c r="CN20" i="6"/>
  <c r="V20" i="6"/>
  <c r="CQ20" i="6"/>
  <c r="X20" i="6"/>
  <c r="AP20" i="6"/>
  <c r="BU20" i="6"/>
  <c r="CC20" i="6"/>
  <c r="BG20" i="6"/>
  <c r="T20" i="6"/>
  <c r="DB20" i="6"/>
  <c r="BR20" i="6"/>
  <c r="S20" i="6"/>
  <c r="BC20" i="6"/>
  <c r="AH20" i="6"/>
  <c r="CK20" i="6"/>
  <c r="BS20" i="6"/>
  <c r="BX20" i="6"/>
  <c r="BB20" i="6"/>
  <c r="AR20" i="6"/>
  <c r="AY20" i="6"/>
  <c r="CJ20" i="6"/>
  <c r="BA20" i="6"/>
  <c r="AM20" i="6"/>
  <c r="AU20" i="6"/>
  <c r="BK20" i="6"/>
  <c r="AS20" i="6"/>
  <c r="AK20" i="6"/>
  <c r="BT20" i="6"/>
  <c r="CR20" i="6"/>
  <c r="P20" i="6"/>
  <c r="BF20" i="6"/>
  <c r="L20" i="6"/>
  <c r="CT20" i="6"/>
  <c r="Y20" i="6"/>
  <c r="CD20" i="6"/>
  <c r="AL20" i="6"/>
  <c r="CB20" i="6"/>
  <c r="DC20" i="6"/>
  <c r="BM20" i="6"/>
  <c r="CI20" i="6"/>
  <c r="BL20" i="6"/>
  <c r="AQ20" i="6"/>
  <c r="AO20" i="6"/>
  <c r="I22" i="6"/>
  <c r="A21" i="6"/>
  <c r="B21" i="6"/>
  <c r="J20" i="6" l="1"/>
  <c r="H19" i="6"/>
  <c r="C21" i="6"/>
  <c r="BS21" i="6" s="1"/>
  <c r="I23" i="6"/>
  <c r="A22" i="6"/>
  <c r="B22" i="6"/>
  <c r="C22" i="6" s="1"/>
  <c r="E22" i="6" s="1"/>
  <c r="Z21" i="6" l="1"/>
  <c r="P21" i="6"/>
  <c r="N21" i="6"/>
  <c r="N22" i="6" s="1"/>
  <c r="AC21" i="6"/>
  <c r="DB21" i="6"/>
  <c r="CR21" i="6"/>
  <c r="CR22" i="6" s="1"/>
  <c r="T21" i="6"/>
  <c r="CO21" i="6"/>
  <c r="CO22" i="6" s="1"/>
  <c r="CN21" i="6"/>
  <c r="CN22" i="6" s="1"/>
  <c r="V21" i="6"/>
  <c r="V22" i="6" s="1"/>
  <c r="BC21" i="6"/>
  <c r="BC22" i="6" s="1"/>
  <c r="BB21" i="6"/>
  <c r="BB22" i="6" s="1"/>
  <c r="AO21" i="6"/>
  <c r="AO22" i="6" s="1"/>
  <c r="Y21" i="6"/>
  <c r="Y22" i="6" s="1"/>
  <c r="CZ21" i="6"/>
  <c r="BS22" i="6"/>
  <c r="AL21" i="6"/>
  <c r="AL22" i="6" s="1"/>
  <c r="AK21" i="6"/>
  <c r="CP21" i="6"/>
  <c r="CP22" i="6" s="1"/>
  <c r="CY21" i="6"/>
  <c r="CY22" i="6" s="1"/>
  <c r="BN21" i="6"/>
  <c r="BN22" i="6" s="1"/>
  <c r="DB22" i="6"/>
  <c r="CJ21" i="6"/>
  <c r="CJ22" i="6" s="1"/>
  <c r="CM21" i="6"/>
  <c r="CM22" i="6" s="1"/>
  <c r="CF21" i="6"/>
  <c r="CF22" i="6" s="1"/>
  <c r="BX21" i="6"/>
  <c r="BX22" i="6" s="1"/>
  <c r="BT21" i="6"/>
  <c r="BT22" i="6" s="1"/>
  <c r="CT21" i="6"/>
  <c r="CT22" i="6" s="1"/>
  <c r="CI21" i="6"/>
  <c r="CI22" i="6" s="1"/>
  <c r="CH21" i="6"/>
  <c r="CH22" i="6" s="1"/>
  <c r="AZ21" i="6"/>
  <c r="AZ22" i="6" s="1"/>
  <c r="K21" i="6"/>
  <c r="K22" i="6" s="1"/>
  <c r="P22" i="6"/>
  <c r="AU21" i="6"/>
  <c r="AU22" i="6" s="1"/>
  <c r="L21" i="6"/>
  <c r="L22" i="6" s="1"/>
  <c r="BD21" i="6"/>
  <c r="BD22" i="6" s="1"/>
  <c r="BP21" i="6"/>
  <c r="AS21" i="6"/>
  <c r="AS22" i="6" s="1"/>
  <c r="BM21" i="6"/>
  <c r="BM22" i="6" s="1"/>
  <c r="AQ21" i="6"/>
  <c r="AQ22" i="6" s="1"/>
  <c r="AA21" i="6"/>
  <c r="AA22" i="6" s="1"/>
  <c r="AW21" i="6"/>
  <c r="AW22" i="6" s="1"/>
  <c r="AI21" i="6"/>
  <c r="AI22" i="6" s="1"/>
  <c r="J21" i="6"/>
  <c r="H20" i="6"/>
  <c r="BW21" i="6"/>
  <c r="BW22" i="6" s="1"/>
  <c r="X21" i="6"/>
  <c r="X22" i="6" s="1"/>
  <c r="CZ22" i="6"/>
  <c r="BK21" i="6"/>
  <c r="BK22" i="6" s="1"/>
  <c r="BQ21" i="6"/>
  <c r="BQ22" i="6" s="1"/>
  <c r="S21" i="6"/>
  <c r="S22" i="6" s="1"/>
  <c r="AB21" i="6"/>
  <c r="AB22" i="6" s="1"/>
  <c r="AC22" i="6"/>
  <c r="CG21" i="6"/>
  <c r="CG22" i="6" s="1"/>
  <c r="AN21" i="6"/>
  <c r="AN22" i="6" s="1"/>
  <c r="BZ21" i="6"/>
  <c r="BZ22" i="6" s="1"/>
  <c r="CA21" i="6"/>
  <c r="CA22" i="6" s="1"/>
  <c r="CL21" i="6"/>
  <c r="CL22" i="6" s="1"/>
  <c r="W21" i="6"/>
  <c r="W22" i="6" s="1"/>
  <c r="DA21" i="6"/>
  <c r="DA22" i="6" s="1"/>
  <c r="U21" i="6"/>
  <c r="U22" i="6" s="1"/>
  <c r="CW21" i="6"/>
  <c r="CW22" i="6" s="1"/>
  <c r="AT21" i="6"/>
  <c r="AT22" i="6" s="1"/>
  <c r="DD21" i="6"/>
  <c r="DD22" i="6" s="1"/>
  <c r="DE21" i="6"/>
  <c r="DE22" i="6" s="1"/>
  <c r="AD21" i="6"/>
  <c r="AD22" i="6" s="1"/>
  <c r="BF21" i="6"/>
  <c r="BF22" i="6" s="1"/>
  <c r="AV21" i="6"/>
  <c r="AV22" i="6" s="1"/>
  <c r="AM21" i="6"/>
  <c r="AM22" i="6" s="1"/>
  <c r="CQ21" i="6"/>
  <c r="CQ22" i="6" s="1"/>
  <c r="AJ21" i="6"/>
  <c r="AJ22" i="6" s="1"/>
  <c r="Z22" i="6"/>
  <c r="BP22" i="6"/>
  <c r="CX21" i="6"/>
  <c r="CX22" i="6" s="1"/>
  <c r="BJ21" i="6"/>
  <c r="BJ22" i="6" s="1"/>
  <c r="CU21" i="6"/>
  <c r="CU22" i="6" s="1"/>
  <c r="R21" i="6"/>
  <c r="R22" i="6" s="1"/>
  <c r="CB21" i="6"/>
  <c r="CB22" i="6" s="1"/>
  <c r="AH21" i="6"/>
  <c r="AH22" i="6" s="1"/>
  <c r="BE21" i="6"/>
  <c r="BE22" i="6" s="1"/>
  <c r="AK22" i="6"/>
  <c r="AY21" i="6"/>
  <c r="AY22" i="6" s="1"/>
  <c r="BV21" i="6"/>
  <c r="BV22" i="6" s="1"/>
  <c r="AX21" i="6"/>
  <c r="AX22" i="6" s="1"/>
  <c r="BO21" i="6"/>
  <c r="BO22" i="6" s="1"/>
  <c r="BG21" i="6"/>
  <c r="BG22" i="6" s="1"/>
  <c r="AG21" i="6"/>
  <c r="AG22" i="6" s="1"/>
  <c r="CS21" i="6"/>
  <c r="CS22" i="6" s="1"/>
  <c r="CV21" i="6"/>
  <c r="CV22" i="6" s="1"/>
  <c r="CD21" i="6"/>
  <c r="CD22" i="6" s="1"/>
  <c r="AP21" i="6"/>
  <c r="AP22" i="6" s="1"/>
  <c r="T22" i="6"/>
  <c r="BH21" i="6"/>
  <c r="BH22" i="6" s="1"/>
  <c r="BI21" i="6"/>
  <c r="BI22" i="6" s="1"/>
  <c r="M21" i="6"/>
  <c r="M22" i="6" s="1"/>
  <c r="CE21" i="6"/>
  <c r="CE22" i="6" s="1"/>
  <c r="Q21" i="6"/>
  <c r="Q22" i="6" s="1"/>
  <c r="CC21" i="6"/>
  <c r="CC22" i="6" s="1"/>
  <c r="AR21" i="6"/>
  <c r="AR22" i="6" s="1"/>
  <c r="AE21" i="6"/>
  <c r="AE22" i="6" s="1"/>
  <c r="BR21" i="6"/>
  <c r="BR22" i="6" s="1"/>
  <c r="O21" i="6"/>
  <c r="O22" i="6" s="1"/>
  <c r="BU21" i="6"/>
  <c r="BU22" i="6" s="1"/>
  <c r="BU23" i="6" s="1"/>
  <c r="CK21" i="6"/>
  <c r="CK22" i="6" s="1"/>
  <c r="BL21" i="6"/>
  <c r="BL22" i="6" s="1"/>
  <c r="AF21" i="6"/>
  <c r="AF22" i="6" s="1"/>
  <c r="BA21" i="6"/>
  <c r="BA22" i="6" s="1"/>
  <c r="BY21" i="6"/>
  <c r="BY22" i="6" s="1"/>
  <c r="DC21" i="6"/>
  <c r="DC22" i="6" s="1"/>
  <c r="A23" i="6"/>
  <c r="B23" i="6"/>
  <c r="C23" i="6" s="1"/>
  <c r="E23" i="6" s="1"/>
  <c r="E21" i="6"/>
  <c r="AS23" i="6" l="1"/>
  <c r="AI23" i="6"/>
  <c r="BF23" i="6"/>
  <c r="AN23" i="6"/>
  <c r="R23" i="6"/>
  <c r="BG23" i="6"/>
  <c r="AG23" i="6"/>
  <c r="CE23" i="6"/>
  <c r="AF23" i="6"/>
  <c r="BY23" i="6"/>
  <c r="BB23" i="6"/>
  <c r="BI23" i="6"/>
  <c r="BA23" i="6"/>
  <c r="M23" i="6"/>
  <c r="BD23" i="6"/>
  <c r="CU23" i="6"/>
  <c r="AD23" i="6"/>
  <c r="CG23" i="6"/>
  <c r="BK23" i="6"/>
  <c r="Y23" i="6"/>
  <c r="BO23" i="6"/>
  <c r="BJ23" i="6"/>
  <c r="DE23" i="6"/>
  <c r="AC23" i="6"/>
  <c r="CZ23" i="6"/>
  <c r="AA23" i="6"/>
  <c r="V23" i="6"/>
  <c r="BH23" i="6"/>
  <c r="AX23" i="6"/>
  <c r="CX23" i="6"/>
  <c r="DD23" i="6"/>
  <c r="AW23" i="6"/>
  <c r="L23" i="6"/>
  <c r="P23" i="6"/>
  <c r="CM23" i="6"/>
  <c r="CK23" i="6"/>
  <c r="T23" i="6"/>
  <c r="BV23" i="6"/>
  <c r="BP23" i="6"/>
  <c r="AT23" i="6"/>
  <c r="BM23" i="6"/>
  <c r="CP23" i="6"/>
  <c r="K23" i="6"/>
  <c r="AQ23" i="6"/>
  <c r="AY23" i="6"/>
  <c r="Z23" i="6"/>
  <c r="CW23" i="6"/>
  <c r="CT23" i="6"/>
  <c r="X23" i="6"/>
  <c r="AU23" i="6"/>
  <c r="O23" i="6"/>
  <c r="AO23" i="6"/>
  <c r="AK23" i="6"/>
  <c r="CJ23" i="6"/>
  <c r="U23" i="6"/>
  <c r="AB23" i="6"/>
  <c r="BW23" i="6"/>
  <c r="AZ23" i="6"/>
  <c r="DC23" i="6"/>
  <c r="BR23" i="6"/>
  <c r="BT23" i="6"/>
  <c r="CY23" i="6"/>
  <c r="N23" i="6"/>
  <c r="DA23" i="6"/>
  <c r="S23" i="6"/>
  <c r="CO23" i="6"/>
  <c r="CR23" i="6"/>
  <c r="AE23" i="6"/>
  <c r="AP23" i="6"/>
  <c r="BX23" i="6"/>
  <c r="AJ23" i="6"/>
  <c r="W23" i="6"/>
  <c r="BQ23" i="6"/>
  <c r="AL23" i="6"/>
  <c r="BN23" i="6"/>
  <c r="AR23" i="6"/>
  <c r="CD23" i="6"/>
  <c r="BE23" i="6"/>
  <c r="CQ23" i="6"/>
  <c r="CL23" i="6"/>
  <c r="CN23" i="6"/>
  <c r="CI23" i="6"/>
  <c r="BC23" i="6"/>
  <c r="CV23" i="6"/>
  <c r="AH23" i="6"/>
  <c r="AM23" i="6"/>
  <c r="CA23" i="6"/>
  <c r="CF23" i="6"/>
  <c r="DB23" i="6"/>
  <c r="CC23" i="6"/>
  <c r="BL23" i="6"/>
  <c r="Q23" i="6"/>
  <c r="CS23" i="6"/>
  <c r="CB23" i="6"/>
  <c r="AV23" i="6"/>
  <c r="BZ23" i="6"/>
  <c r="CH23" i="6"/>
  <c r="J22" i="6"/>
  <c r="H21" i="6"/>
  <c r="BS23" i="6"/>
  <c r="G3" i="6"/>
  <c r="F3" i="6" s="1"/>
  <c r="J23" i="6" l="1"/>
  <c r="H23" i="6" s="1"/>
  <c r="H22" i="6"/>
  <c r="G4" i="6"/>
  <c r="F4" i="6" s="1"/>
  <c r="G5" i="6" l="1"/>
  <c r="F5" i="6" s="1"/>
  <c r="G6" i="6" l="1"/>
  <c r="F6" i="6" s="1"/>
  <c r="G7" i="6" l="1"/>
  <c r="F7" i="6" s="1"/>
  <c r="G8" i="6" l="1"/>
  <c r="F8" i="6" s="1"/>
  <c r="G9" i="6" l="1"/>
  <c r="F9" i="6" s="1"/>
  <c r="G10" i="6" l="1"/>
  <c r="F10" i="6" s="1"/>
  <c r="G11" i="6" l="1"/>
  <c r="F11" i="6" s="1"/>
  <c r="G12" i="6" l="1"/>
  <c r="F12" i="6" s="1"/>
  <c r="G13" i="6" l="1"/>
  <c r="F13" i="6" s="1"/>
  <c r="G14" i="6" l="1"/>
  <c r="F14" i="6" s="1"/>
  <c r="G15" i="6" l="1"/>
  <c r="F15" i="6" s="1"/>
  <c r="G16" i="6" l="1"/>
  <c r="F16" i="6" s="1"/>
  <c r="G17" i="6" l="1"/>
  <c r="F17" i="6" s="1"/>
  <c r="G18" i="6" l="1"/>
  <c r="F18" i="6" s="1"/>
  <c r="G19" i="6" l="1"/>
  <c r="F19" i="6" s="1"/>
  <c r="G20" i="6" l="1"/>
  <c r="F20" i="6" s="1"/>
  <c r="G21" i="6" l="1"/>
  <c r="F21" i="6" s="1"/>
  <c r="G23" i="6" l="1"/>
  <c r="F23" i="6" s="1"/>
  <c r="G22" i="6"/>
  <c r="F22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<sst xmlns="http://schemas.openxmlformats.org/spreadsheetml/2006/main" count="4560" uniqueCount="1598">
  <si>
    <t>today</t>
    <phoneticPr fontId="1" type="noConversion"/>
  </si>
  <si>
    <t>CALENDAR.SEOUL.DATA</t>
  </si>
  <si>
    <t>DATES</t>
  </si>
  <si>
    <t>DF</t>
    <phoneticPr fontId="1" type="noConversion"/>
  </si>
  <si>
    <t>discounted</t>
    <phoneticPr fontId="1" type="noConversion"/>
  </si>
  <si>
    <t>종목코드</t>
  </si>
  <si>
    <t>종목명</t>
  </si>
  <si>
    <t>종가</t>
  </si>
  <si>
    <t>대비</t>
  </si>
  <si>
    <t>시가</t>
  </si>
  <si>
    <t>고가</t>
  </si>
  <si>
    <t>저가</t>
  </si>
  <si>
    <t>내재변동성</t>
  </si>
  <si>
    <t>익일정산가</t>
  </si>
  <si>
    <t>거래량</t>
  </si>
  <si>
    <t>거래대금</t>
  </si>
  <si>
    <t>미결제약정</t>
  </si>
  <si>
    <t>Strike</t>
  </si>
  <si>
    <t>Maturity</t>
  </si>
  <si>
    <t>Skip?</t>
  </si>
  <si>
    <t>rf</t>
    <phoneticPr fontId="1" type="noConversion"/>
  </si>
  <si>
    <t>imvol</t>
    <phoneticPr fontId="1" type="noConversion"/>
  </si>
  <si>
    <t>price</t>
    <phoneticPr fontId="1" type="noConversion"/>
  </si>
  <si>
    <t>-</t>
  </si>
  <si>
    <t>201V5205</t>
  </si>
  <si>
    <t>코스피200 C 202405 205.0</t>
  </si>
  <si>
    <t>201V5210</t>
  </si>
  <si>
    <t>코스피200 C 202405 210.0</t>
  </si>
  <si>
    <t>201V5215</t>
  </si>
  <si>
    <t>코스피200 C 202405 215.0</t>
  </si>
  <si>
    <t>201V5220</t>
  </si>
  <si>
    <t>코스피200 C 202405 220.0</t>
  </si>
  <si>
    <t>201V5225</t>
  </si>
  <si>
    <t>코스피200 C 202405 225.0</t>
  </si>
  <si>
    <t>201V5230</t>
  </si>
  <si>
    <t>코스피200 C 202405 230.0</t>
  </si>
  <si>
    <t>201V5235</t>
  </si>
  <si>
    <t>코스피200 C 202405 235.0</t>
  </si>
  <si>
    <t>201V5240</t>
  </si>
  <si>
    <t>코스피200 C 202405 240.0</t>
  </si>
  <si>
    <t>201V5245</t>
  </si>
  <si>
    <t>코스피200 C 202405 245.0</t>
  </si>
  <si>
    <t>201V5250</t>
  </si>
  <si>
    <t>코스피200 C 202405 250.0</t>
  </si>
  <si>
    <t>201V5255</t>
  </si>
  <si>
    <t>코스피200 C 202405 255.0</t>
  </si>
  <si>
    <t>201V5260</t>
  </si>
  <si>
    <t>코스피200 C 202405 260.0</t>
  </si>
  <si>
    <t>201V5265</t>
  </si>
  <si>
    <t>코스피200 C 202405 265.0</t>
  </si>
  <si>
    <t>201V5270</t>
  </si>
  <si>
    <t>코스피200 C 202405 270.0</t>
  </si>
  <si>
    <t>201V5275</t>
  </si>
  <si>
    <t>코스피200 C 202405 275.0</t>
  </si>
  <si>
    <t>201V5280</t>
  </si>
  <si>
    <t>코스피200 C 202405 280.0</t>
  </si>
  <si>
    <t>201V5285</t>
  </si>
  <si>
    <t>코스피200 C 202405 285.0</t>
  </si>
  <si>
    <t>201V5290</t>
  </si>
  <si>
    <t>코스피200 C 202405 290.0</t>
  </si>
  <si>
    <t>201V5295</t>
  </si>
  <si>
    <t>코스피200 C 202405 295.0</t>
  </si>
  <si>
    <t>201V5300</t>
  </si>
  <si>
    <t>코스피200 C 202405 300.0</t>
  </si>
  <si>
    <t>201V5305</t>
  </si>
  <si>
    <t>코스피200 C 202405 305.0</t>
  </si>
  <si>
    <t>201V5310</t>
  </si>
  <si>
    <t>코스피200 C 202405 310.0</t>
  </si>
  <si>
    <t>201V5315</t>
  </si>
  <si>
    <t>코스피200 C 202405 315.0</t>
  </si>
  <si>
    <t>201V5320</t>
  </si>
  <si>
    <t>코스피200 C 202405 320.0</t>
  </si>
  <si>
    <t>201V5325</t>
  </si>
  <si>
    <t>코스피200 C 202405 325.0</t>
  </si>
  <si>
    <t>201V5330</t>
  </si>
  <si>
    <t>코스피200 C 202405 330.0</t>
  </si>
  <si>
    <t>201V5335</t>
  </si>
  <si>
    <t>코스피200 C 202405 335.0</t>
  </si>
  <si>
    <t>201V5340</t>
  </si>
  <si>
    <t>코스피200 C 202405 340.0</t>
  </si>
  <si>
    <t>201V5345</t>
  </si>
  <si>
    <t>코스피200 C 202405 345.0</t>
  </si>
  <si>
    <t>201V5350</t>
  </si>
  <si>
    <t>코스피200 C 202405 350.0</t>
  </si>
  <si>
    <t>201V5355</t>
  </si>
  <si>
    <t>코스피200 C 202405 355.0</t>
  </si>
  <si>
    <t>201V5360</t>
  </si>
  <si>
    <t>코스피200 C 202405 360.0</t>
  </si>
  <si>
    <t>201V5365</t>
  </si>
  <si>
    <t>코스피200 C 202405 365.0</t>
  </si>
  <si>
    <t>201V5370</t>
  </si>
  <si>
    <t>코스피200 C 202405 370.0</t>
  </si>
  <si>
    <t>201V5375</t>
  </si>
  <si>
    <t>코스피200 C 202405 375.0</t>
  </si>
  <si>
    <t>201V5380</t>
  </si>
  <si>
    <t>코스피200 C 202405 380.0</t>
  </si>
  <si>
    <t>201V5385</t>
  </si>
  <si>
    <t>코스피200 C 202405 385.0</t>
  </si>
  <si>
    <t>201V5390</t>
  </si>
  <si>
    <t>코스피200 C 202405 390.0</t>
  </si>
  <si>
    <t>201V5395</t>
  </si>
  <si>
    <t>코스피200 C 202405 395.0</t>
  </si>
  <si>
    <t>201V5400</t>
  </si>
  <si>
    <t>코스피200 C 202405 400.0</t>
  </si>
  <si>
    <t>201V5405</t>
  </si>
  <si>
    <t>코스피200 C 202405 405.0</t>
  </si>
  <si>
    <t>201V5410</t>
  </si>
  <si>
    <t>코스피200 C 202405 410.0</t>
  </si>
  <si>
    <t>201V5415</t>
  </si>
  <si>
    <t>코스피200 C 202405 415.0</t>
  </si>
  <si>
    <t>201V5420</t>
  </si>
  <si>
    <t>코스피200 C 202405 420.0</t>
  </si>
  <si>
    <t>201V5425</t>
  </si>
  <si>
    <t>코스피200 C 202405 425.0</t>
  </si>
  <si>
    <t>201V5430</t>
  </si>
  <si>
    <t>코스피200 C 202405 430.0</t>
  </si>
  <si>
    <t>201V5435</t>
  </si>
  <si>
    <t>코스피200 C 202405 435.0</t>
  </si>
  <si>
    <t>201V5440</t>
  </si>
  <si>
    <t>코스피200 C 202405 440.0</t>
  </si>
  <si>
    <t>201V5445</t>
  </si>
  <si>
    <t>코스피200 C 202405 445.0</t>
  </si>
  <si>
    <t>201V5450</t>
  </si>
  <si>
    <t>코스피200 C 202405 450.0</t>
  </si>
  <si>
    <t>201V5455</t>
  </si>
  <si>
    <t>코스피200 C 202405 455.0</t>
  </si>
  <si>
    <t>201V5460</t>
  </si>
  <si>
    <t>코스피200 C 202405 460.0</t>
  </si>
  <si>
    <t>201V5465</t>
  </si>
  <si>
    <t>코스피200 C 202405 465.0</t>
  </si>
  <si>
    <t>201V5470</t>
  </si>
  <si>
    <t>코스피200 C 202405 470.0</t>
  </si>
  <si>
    <t>201V6160</t>
  </si>
  <si>
    <t>코스피200 C 202406 160.0</t>
  </si>
  <si>
    <t>201V6165</t>
  </si>
  <si>
    <t>코스피200 C 202406 165.0</t>
  </si>
  <si>
    <t>201V6170</t>
  </si>
  <si>
    <t>코스피200 C 202406 170.0</t>
  </si>
  <si>
    <t>201V6175</t>
  </si>
  <si>
    <t>코스피200 C 202406 175.0</t>
  </si>
  <si>
    <t>201V6180</t>
  </si>
  <si>
    <t>코스피200 C 202406 180.0</t>
  </si>
  <si>
    <t>201V6185</t>
  </si>
  <si>
    <t>코스피200 C 202406 185.0</t>
  </si>
  <si>
    <t>201V6190</t>
  </si>
  <si>
    <t>코스피200 C 202406 190.0</t>
  </si>
  <si>
    <t>201V6195</t>
  </si>
  <si>
    <t>코스피200 C 202406 195.0</t>
  </si>
  <si>
    <t>201V6200</t>
  </si>
  <si>
    <t>코스피200 C 202406 200.0</t>
  </si>
  <si>
    <t>201V6205</t>
  </si>
  <si>
    <t>코스피200 C 202406 205.0</t>
  </si>
  <si>
    <t>201V6210</t>
  </si>
  <si>
    <t>코스피200 C 202406 210.0</t>
  </si>
  <si>
    <t>201V6215</t>
  </si>
  <si>
    <t>코스피200 C 202406 215.0</t>
  </si>
  <si>
    <t>201V6220</t>
  </si>
  <si>
    <t>코스피200 C 202406 220.0</t>
  </si>
  <si>
    <t>201V6225</t>
  </si>
  <si>
    <t>코스피200 C 202406 225.0</t>
  </si>
  <si>
    <t>201V6230</t>
  </si>
  <si>
    <t>코스피200 C 202406 230.0</t>
  </si>
  <si>
    <t>201V6235</t>
  </si>
  <si>
    <t>코스피200 C 202406 235.0</t>
  </si>
  <si>
    <t>201V6240</t>
  </si>
  <si>
    <t>코스피200 C 202406 240.0</t>
  </si>
  <si>
    <t>201V6245</t>
  </si>
  <si>
    <t>코스피200 C 202406 245.0</t>
  </si>
  <si>
    <t>201V6250</t>
  </si>
  <si>
    <t>코스피200 C 202406 250.0</t>
  </si>
  <si>
    <t>201V6255</t>
  </si>
  <si>
    <t>코스피200 C 202406 255.0</t>
  </si>
  <si>
    <t>201V6260</t>
  </si>
  <si>
    <t>코스피200 C 202406 260.0</t>
  </si>
  <si>
    <t>201V6265</t>
  </si>
  <si>
    <t>코스피200 C 202406 265.0</t>
  </si>
  <si>
    <t>201V6270</t>
  </si>
  <si>
    <t>코스피200 C 202406 270.0</t>
  </si>
  <si>
    <t>201V6275</t>
  </si>
  <si>
    <t>코스피200 C 202406 275.0</t>
  </si>
  <si>
    <t>201V6280</t>
  </si>
  <si>
    <t>코스피200 C 202406 280.0</t>
  </si>
  <si>
    <t>201V6285</t>
  </si>
  <si>
    <t>코스피200 C 202406 285.0</t>
  </si>
  <si>
    <t>201V6290</t>
  </si>
  <si>
    <t>코스피200 C 202406 290.0</t>
  </si>
  <si>
    <t>201V6295</t>
  </si>
  <si>
    <t>코스피200 C 202406 295.0</t>
  </si>
  <si>
    <t>201V6300</t>
  </si>
  <si>
    <t>코스피200 C 202406 300.0</t>
  </si>
  <si>
    <t>201V6305</t>
  </si>
  <si>
    <t>코스피200 C 202406 305.0</t>
  </si>
  <si>
    <t>201V6310</t>
  </si>
  <si>
    <t>코스피200 C 202406 310.0</t>
  </si>
  <si>
    <t>201V6315</t>
  </si>
  <si>
    <t>코스피200 C 202406 315.0</t>
  </si>
  <si>
    <t>201V6320</t>
  </si>
  <si>
    <t>코스피200 C 202406 320.0</t>
  </si>
  <si>
    <t>201V6325</t>
  </si>
  <si>
    <t>코스피200 C 202406 325.0</t>
  </si>
  <si>
    <t>201V6330</t>
  </si>
  <si>
    <t>코스피200 C 202406 330.0</t>
  </si>
  <si>
    <t>201V6335</t>
  </si>
  <si>
    <t>코스피200 C 202406 335.0</t>
  </si>
  <si>
    <t>201V6340</t>
  </si>
  <si>
    <t>코스피200 C 202406 340.0</t>
  </si>
  <si>
    <t>201V6345</t>
  </si>
  <si>
    <t>코스피200 C 202406 345.0</t>
  </si>
  <si>
    <t>201V6350</t>
  </si>
  <si>
    <t>코스피200 C 202406 350.0</t>
  </si>
  <si>
    <t>201V6355</t>
  </si>
  <si>
    <t>코스피200 C 202406 355.0</t>
  </si>
  <si>
    <t>201V6360</t>
  </si>
  <si>
    <t>코스피200 C 202406 360.0</t>
  </si>
  <si>
    <t>201V6365</t>
  </si>
  <si>
    <t>코스피200 C 202406 365.0</t>
  </si>
  <si>
    <t>201V6370</t>
  </si>
  <si>
    <t>코스피200 C 202406 370.0</t>
  </si>
  <si>
    <t>201V6375</t>
  </si>
  <si>
    <t>코스피200 C 202406 375.0</t>
  </si>
  <si>
    <t>201V6380</t>
  </si>
  <si>
    <t>코스피200 C 202406 380.0</t>
  </si>
  <si>
    <t>201V6385</t>
  </si>
  <si>
    <t>코스피200 C 202406 385.0</t>
  </si>
  <si>
    <t>201V6390</t>
  </si>
  <si>
    <t>코스피200 C 202406 390.0</t>
  </si>
  <si>
    <t>201V6395</t>
  </si>
  <si>
    <t>코스피200 C 202406 395.0</t>
  </si>
  <si>
    <t>201V6400</t>
  </si>
  <si>
    <t>코스피200 C 202406 400.0</t>
  </si>
  <si>
    <t>201V6405</t>
  </si>
  <si>
    <t>코스피200 C 202406 405.0</t>
  </si>
  <si>
    <t>201V6410</t>
  </si>
  <si>
    <t>코스피200 C 202406 410.0</t>
  </si>
  <si>
    <t>201V6415</t>
  </si>
  <si>
    <t>코스피200 C 202406 415.0</t>
  </si>
  <si>
    <t>201V6420</t>
  </si>
  <si>
    <t>코스피200 C 202406 420.0</t>
  </si>
  <si>
    <t>201V6425</t>
  </si>
  <si>
    <t>코스피200 C 202406 425.0</t>
  </si>
  <si>
    <t>201V6430</t>
  </si>
  <si>
    <t>코스피200 C 202406 430.0</t>
  </si>
  <si>
    <t>201V6435</t>
  </si>
  <si>
    <t>코스피200 C 202406 435.0</t>
  </si>
  <si>
    <t>201V6440</t>
  </si>
  <si>
    <t>코스피200 C 202406 440.0</t>
  </si>
  <si>
    <t>201V6445</t>
  </si>
  <si>
    <t>코스피200 C 202406 445.0</t>
  </si>
  <si>
    <t>201V6450</t>
  </si>
  <si>
    <t>코스피200 C 202406 450.0</t>
  </si>
  <si>
    <t>201V6455</t>
  </si>
  <si>
    <t>코스피200 C 202406 455.0</t>
  </si>
  <si>
    <t>201V6460</t>
  </si>
  <si>
    <t>코스피200 C 202406 460.0</t>
  </si>
  <si>
    <t>201V6465</t>
  </si>
  <si>
    <t>코스피200 C 202406 465.0</t>
  </si>
  <si>
    <t>201V6470</t>
  </si>
  <si>
    <t>코스피200 C 202406 470.0</t>
  </si>
  <si>
    <t>201V9185</t>
  </si>
  <si>
    <t>코스피200 C 202409 185.0</t>
  </si>
  <si>
    <t>201V9190</t>
  </si>
  <si>
    <t>코스피200 C 202409 190.0</t>
  </si>
  <si>
    <t>201V9195</t>
  </si>
  <si>
    <t>코스피200 C 202409 195.0</t>
  </si>
  <si>
    <t>201V9200</t>
  </si>
  <si>
    <t>코스피200 C 202409 200.0</t>
  </si>
  <si>
    <t>201V9205</t>
  </si>
  <si>
    <t>코스피200 C 202409 205.0</t>
  </si>
  <si>
    <t>201V9210</t>
  </si>
  <si>
    <t>코스피200 C 202409 210.0</t>
  </si>
  <si>
    <t>201V9215</t>
  </si>
  <si>
    <t>코스피200 C 202409 215.0</t>
  </si>
  <si>
    <t>201V9220</t>
  </si>
  <si>
    <t>코스피200 C 202409 220.0</t>
  </si>
  <si>
    <t>201V9225</t>
  </si>
  <si>
    <t>코스피200 C 202409 225.0</t>
  </si>
  <si>
    <t>201V9230</t>
  </si>
  <si>
    <t>코스피200 C 202409 230.0</t>
  </si>
  <si>
    <t>201V9235</t>
  </si>
  <si>
    <t>코스피200 C 202409 235.0</t>
  </si>
  <si>
    <t>201V9240</t>
  </si>
  <si>
    <t>코스피200 C 202409 240.0</t>
  </si>
  <si>
    <t>201V9245</t>
  </si>
  <si>
    <t>코스피200 C 202409 245.0</t>
  </si>
  <si>
    <t>201V9250</t>
  </si>
  <si>
    <t>코스피200 C 202409 250.0</t>
  </si>
  <si>
    <t>201V9255</t>
  </si>
  <si>
    <t>코스피200 C 202409 255.0</t>
  </si>
  <si>
    <t>201V9260</t>
  </si>
  <si>
    <t>코스피200 C 202409 260.0</t>
  </si>
  <si>
    <t>201V9265</t>
  </si>
  <si>
    <t>코스피200 C 202409 265.0</t>
  </si>
  <si>
    <t>201V9270</t>
  </si>
  <si>
    <t>코스피200 C 202409 270.0</t>
  </si>
  <si>
    <t>201V9275</t>
  </si>
  <si>
    <t>코스피200 C 202409 275.0</t>
  </si>
  <si>
    <t>201V9280</t>
  </si>
  <si>
    <t>코스피200 C 202409 280.0</t>
  </si>
  <si>
    <t>201V9285</t>
  </si>
  <si>
    <t>코스피200 C 202409 285.0</t>
  </si>
  <si>
    <t>201V9290</t>
  </si>
  <si>
    <t>코스피200 C 202409 290.0</t>
  </si>
  <si>
    <t>201V9295</t>
  </si>
  <si>
    <t>코스피200 C 202409 295.0</t>
  </si>
  <si>
    <t>201V9300</t>
  </si>
  <si>
    <t>코스피200 C 202409 300.0</t>
  </si>
  <si>
    <t>201V9305</t>
  </si>
  <si>
    <t>코스피200 C 202409 305.0</t>
  </si>
  <si>
    <t>201V9310</t>
  </si>
  <si>
    <t>코스피200 C 202409 310.0</t>
  </si>
  <si>
    <t>201V9315</t>
  </si>
  <si>
    <t>코스피200 C 202409 315.0</t>
  </si>
  <si>
    <t>201V9320</t>
  </si>
  <si>
    <t>코스피200 C 202409 320.0</t>
  </si>
  <si>
    <t>201V9325</t>
  </si>
  <si>
    <t>코스피200 C 202409 325.0</t>
  </si>
  <si>
    <t>201V9330</t>
  </si>
  <si>
    <t>코스피200 C 202409 330.0</t>
  </si>
  <si>
    <t>201V9335</t>
  </si>
  <si>
    <t>코스피200 C 202409 335.0</t>
  </si>
  <si>
    <t>201V9340</t>
  </si>
  <si>
    <t>코스피200 C 202409 340.0</t>
  </si>
  <si>
    <t>201V9345</t>
  </si>
  <si>
    <t>코스피200 C 202409 345.0</t>
  </si>
  <si>
    <t>201V9350</t>
  </si>
  <si>
    <t>코스피200 C 202409 350.0</t>
  </si>
  <si>
    <t>201V9355</t>
  </si>
  <si>
    <t>코스피200 C 202409 355.0</t>
  </si>
  <si>
    <t>201V9360</t>
  </si>
  <si>
    <t>코스피200 C 202409 360.0</t>
  </si>
  <si>
    <t>201V9365</t>
  </si>
  <si>
    <t>코스피200 C 202409 365.0</t>
  </si>
  <si>
    <t>201V9370</t>
  </si>
  <si>
    <t>코스피200 C 202409 370.0</t>
  </si>
  <si>
    <t>201V9375</t>
  </si>
  <si>
    <t>코스피200 C 202409 375.0</t>
  </si>
  <si>
    <t>201V9380</t>
  </si>
  <si>
    <t>코스피200 C 202409 380.0</t>
  </si>
  <si>
    <t>201V9385</t>
  </si>
  <si>
    <t>코스피200 C 202409 385.0</t>
  </si>
  <si>
    <t>201V9390</t>
  </si>
  <si>
    <t>코스피200 C 202409 390.0</t>
  </si>
  <si>
    <t>201V9395</t>
  </si>
  <si>
    <t>코스피200 C 202409 395.0</t>
  </si>
  <si>
    <t>201V9400</t>
  </si>
  <si>
    <t>코스피200 C 202409 400.0</t>
  </si>
  <si>
    <t>201V9405</t>
  </si>
  <si>
    <t>코스피200 C 202409 405.0</t>
  </si>
  <si>
    <t>201V9410</t>
  </si>
  <si>
    <t>코스피200 C 202409 410.0</t>
  </si>
  <si>
    <t>201V9415</t>
  </si>
  <si>
    <t>코스피200 C 202409 415.0</t>
  </si>
  <si>
    <t>201V9420</t>
  </si>
  <si>
    <t>코스피200 C 202409 420.0</t>
  </si>
  <si>
    <t>201V9425</t>
  </si>
  <si>
    <t>코스피200 C 202409 425.0</t>
  </si>
  <si>
    <t>201V9430</t>
  </si>
  <si>
    <t>코스피200 C 202409 430.0</t>
  </si>
  <si>
    <t>201V9435</t>
  </si>
  <si>
    <t>코스피200 C 202409 435.0</t>
  </si>
  <si>
    <t>201V9440</t>
  </si>
  <si>
    <t>코스피200 C 202409 440.0</t>
  </si>
  <si>
    <t>201V9445</t>
  </si>
  <si>
    <t>코스피200 C 202409 445.0</t>
  </si>
  <si>
    <t>201V9450</t>
  </si>
  <si>
    <t>코스피200 C 202409 450.0</t>
  </si>
  <si>
    <t>201V9455</t>
  </si>
  <si>
    <t>코스피200 C 202409 455.0</t>
  </si>
  <si>
    <t>201V9460</t>
  </si>
  <si>
    <t>코스피200 C 202409 460.0</t>
  </si>
  <si>
    <t>201V9465</t>
  </si>
  <si>
    <t>코스피200 C 202409 465.0</t>
  </si>
  <si>
    <t>201V9470</t>
  </si>
  <si>
    <t>코스피200 C 202409 470.0</t>
  </si>
  <si>
    <t>201VC160</t>
  </si>
  <si>
    <t>코스피200 C 202412 160.0</t>
  </si>
  <si>
    <t>201VC165</t>
  </si>
  <si>
    <t>코스피200 C 202412 165.0</t>
  </si>
  <si>
    <t>201VC170</t>
  </si>
  <si>
    <t>코스피200 C 202412 170.0</t>
  </si>
  <si>
    <t>201VC175</t>
  </si>
  <si>
    <t>코스피200 C 202412 175.0</t>
  </si>
  <si>
    <t>201VC180</t>
  </si>
  <si>
    <t>코스피200 C 202412 180.0</t>
  </si>
  <si>
    <t>201VC185</t>
  </si>
  <si>
    <t>코스피200 C 202412 185.0</t>
  </si>
  <si>
    <t>201VC190</t>
  </si>
  <si>
    <t>코스피200 C 202412 190.0</t>
  </si>
  <si>
    <t>201VC195</t>
  </si>
  <si>
    <t>코스피200 C 202412 195.0</t>
  </si>
  <si>
    <t>201VC200</t>
  </si>
  <si>
    <t>코스피200 C 202412 200.0</t>
  </si>
  <si>
    <t>201VC205</t>
  </si>
  <si>
    <t>코스피200 C 202412 205.0</t>
  </si>
  <si>
    <t>201VC210</t>
  </si>
  <si>
    <t>코스피200 C 202412 210.0</t>
  </si>
  <si>
    <t>201VC215</t>
  </si>
  <si>
    <t>코스피200 C 202412 215.0</t>
  </si>
  <si>
    <t>201VC220</t>
  </si>
  <si>
    <t>코스피200 C 202412 220.0</t>
  </si>
  <si>
    <t>201VC225</t>
  </si>
  <si>
    <t>코스피200 C 202412 225.0</t>
  </si>
  <si>
    <t>201VC230</t>
  </si>
  <si>
    <t>코스피200 C 202412 230.0</t>
  </si>
  <si>
    <t>201VC235</t>
  </si>
  <si>
    <t>코스피200 C 202412 235.0</t>
  </si>
  <si>
    <t>201VC240</t>
  </si>
  <si>
    <t>코스피200 C 202412 240.0</t>
  </si>
  <si>
    <t>201VC245</t>
  </si>
  <si>
    <t>코스피200 C 202412 245.0</t>
  </si>
  <si>
    <t>201VC250</t>
  </si>
  <si>
    <t>코스피200 C 202412 250.0</t>
  </si>
  <si>
    <t>201VC255</t>
  </si>
  <si>
    <t>코스피200 C 202412 255.0</t>
  </si>
  <si>
    <t>201VC260</t>
  </si>
  <si>
    <t>코스피200 C 202412 260.0</t>
  </si>
  <si>
    <t>201VC265</t>
  </si>
  <si>
    <t>코스피200 C 202412 265.0</t>
  </si>
  <si>
    <t>201VC270</t>
  </si>
  <si>
    <t>코스피200 C 202412 270.0</t>
  </si>
  <si>
    <t>201VC275</t>
  </si>
  <si>
    <t>코스피200 C 202412 275.0</t>
  </si>
  <si>
    <t>201VC280</t>
  </si>
  <si>
    <t>코스피200 C 202412 280.0</t>
  </si>
  <si>
    <t>201VC285</t>
  </si>
  <si>
    <t>코스피200 C 202412 285.0</t>
  </si>
  <si>
    <t>201VC290</t>
  </si>
  <si>
    <t>코스피200 C 202412 290.0</t>
  </si>
  <si>
    <t>201VC295</t>
  </si>
  <si>
    <t>코스피200 C 202412 295.0</t>
  </si>
  <si>
    <t>201VC300</t>
  </si>
  <si>
    <t>코스피200 C 202412 300.0</t>
  </si>
  <si>
    <t>201VC305</t>
  </si>
  <si>
    <t>코스피200 C 202412 305.0</t>
  </si>
  <si>
    <t>201VC310</t>
  </si>
  <si>
    <t>코스피200 C 202412 310.0</t>
  </si>
  <si>
    <t>201VC315</t>
  </si>
  <si>
    <t>코스피200 C 202412 315.0</t>
  </si>
  <si>
    <t>201VC320</t>
  </si>
  <si>
    <t>코스피200 C 202412 320.0</t>
  </si>
  <si>
    <t>201VC325</t>
  </si>
  <si>
    <t>코스피200 C 202412 325.0</t>
  </si>
  <si>
    <t>201VC330</t>
  </si>
  <si>
    <t>코스피200 C 202412 330.0</t>
  </si>
  <si>
    <t>201VC335</t>
  </si>
  <si>
    <t>코스피200 C 202412 335.0</t>
  </si>
  <si>
    <t>201VC340</t>
  </si>
  <si>
    <t>코스피200 C 202412 340.0</t>
  </si>
  <si>
    <t>201VC345</t>
  </si>
  <si>
    <t>코스피200 C 202412 345.0</t>
  </si>
  <si>
    <t>201VC350</t>
  </si>
  <si>
    <t>코스피200 C 202412 350.0</t>
  </si>
  <si>
    <t>201VC355</t>
  </si>
  <si>
    <t>코스피200 C 202412 355.0</t>
  </si>
  <si>
    <t>201VC360</t>
  </si>
  <si>
    <t>코스피200 C 202412 360.0</t>
  </si>
  <si>
    <t>201VC365</t>
  </si>
  <si>
    <t>코스피200 C 202412 365.0</t>
  </si>
  <si>
    <t>201VC370</t>
  </si>
  <si>
    <t>코스피200 C 202412 370.0</t>
  </si>
  <si>
    <t>201VC375</t>
  </si>
  <si>
    <t>코스피200 C 202412 375.0</t>
  </si>
  <si>
    <t>201VC380</t>
  </si>
  <si>
    <t>코스피200 C 202412 380.0</t>
  </si>
  <si>
    <t>201VC385</t>
  </si>
  <si>
    <t>코스피200 C 202412 385.0</t>
  </si>
  <si>
    <t>201VC390</t>
  </si>
  <si>
    <t>코스피200 C 202412 390.0</t>
  </si>
  <si>
    <t>201VC395</t>
  </si>
  <si>
    <t>코스피200 C 202412 395.0</t>
  </si>
  <si>
    <t>201VC400</t>
  </si>
  <si>
    <t>코스피200 C 202412 400.0</t>
  </si>
  <si>
    <t>201VC405</t>
  </si>
  <si>
    <t>코스피200 C 202412 405.0</t>
  </si>
  <si>
    <t>201VC410</t>
  </si>
  <si>
    <t>코스피200 C 202412 410.0</t>
  </si>
  <si>
    <t>201VC415</t>
  </si>
  <si>
    <t>코스피200 C 202412 415.0</t>
  </si>
  <si>
    <t>201VC420</t>
  </si>
  <si>
    <t>코스피200 C 202412 420.0</t>
  </si>
  <si>
    <t>201VC425</t>
  </si>
  <si>
    <t>코스피200 C 202412 425.0</t>
  </si>
  <si>
    <t>201VC430</t>
  </si>
  <si>
    <t>코스피200 C 202412 430.0</t>
  </si>
  <si>
    <t>201VC435</t>
  </si>
  <si>
    <t>코스피200 C 202412 435.0</t>
  </si>
  <si>
    <t>201VC440</t>
  </si>
  <si>
    <t>코스피200 C 202412 440.0</t>
  </si>
  <si>
    <t>201VC445</t>
  </si>
  <si>
    <t>코스피200 C 202412 445.0</t>
  </si>
  <si>
    <t>201VC450</t>
  </si>
  <si>
    <t>코스피200 C 202412 450.0</t>
  </si>
  <si>
    <t>201VC455</t>
  </si>
  <si>
    <t>코스피200 C 202412 455.0</t>
  </si>
  <si>
    <t>201VC460</t>
  </si>
  <si>
    <t>코스피200 C 202412 460.0</t>
  </si>
  <si>
    <t>201VC465</t>
  </si>
  <si>
    <t>코스피200 C 202412 465.0</t>
  </si>
  <si>
    <t>201VC470</t>
  </si>
  <si>
    <t>코스피200 C 202412 470.0</t>
  </si>
  <si>
    <t>201VC475</t>
  </si>
  <si>
    <t>코스피200 C 202412 475.0</t>
  </si>
  <si>
    <t>201VC480</t>
  </si>
  <si>
    <t>코스피200 C 202412 480.0</t>
  </si>
  <si>
    <t>201VC485</t>
  </si>
  <si>
    <t>코스피200 C 202412 485.0</t>
  </si>
  <si>
    <t>201VC490</t>
  </si>
  <si>
    <t>코스피200 C 202412 490.0</t>
  </si>
  <si>
    <t>201VC495</t>
  </si>
  <si>
    <t>코스피200 C 202412 495.0</t>
  </si>
  <si>
    <t>201VC500</t>
  </si>
  <si>
    <t>코스피200 C 202412 500.0</t>
  </si>
  <si>
    <t>201VC505</t>
  </si>
  <si>
    <t>코스피200 C 202412 505.0</t>
  </si>
  <si>
    <t>201VC510</t>
  </si>
  <si>
    <t>코스피200 C 202412 510.0</t>
  </si>
  <si>
    <t>201VC515</t>
  </si>
  <si>
    <t>코스피200 C 202412 515.0</t>
  </si>
  <si>
    <t>201VC520</t>
  </si>
  <si>
    <t>코스피200 C 202412 520.0</t>
  </si>
  <si>
    <t>201W6190</t>
  </si>
  <si>
    <t>코스피200 C 202506 190.0</t>
  </si>
  <si>
    <t>201W6200</t>
  </si>
  <si>
    <t>코스피200 C 202506 200.0</t>
  </si>
  <si>
    <t>201W6210</t>
  </si>
  <si>
    <t>코스피200 C 202506 210.0</t>
  </si>
  <si>
    <t>201W6220</t>
  </si>
  <si>
    <t>코스피200 C 202506 220.0</t>
  </si>
  <si>
    <t>201W6230</t>
  </si>
  <si>
    <t>코스피200 C 202506 230.0</t>
  </si>
  <si>
    <t>201W6240</t>
  </si>
  <si>
    <t>코스피200 C 202506 240.0</t>
  </si>
  <si>
    <t>201W6250</t>
  </si>
  <si>
    <t>코스피200 C 202506 250.0</t>
  </si>
  <si>
    <t>201W6260</t>
  </si>
  <si>
    <t>코스피200 C 202506 260.0</t>
  </si>
  <si>
    <t>201W6270</t>
  </si>
  <si>
    <t>코스피200 C 202506 270.0</t>
  </si>
  <si>
    <t>201W6280</t>
  </si>
  <si>
    <t>코스피200 C 202506 280.0</t>
  </si>
  <si>
    <t>201W6290</t>
  </si>
  <si>
    <t>코스피200 C 202506 290.0</t>
  </si>
  <si>
    <t>201W6300</t>
  </si>
  <si>
    <t>코스피200 C 202506 300.0</t>
  </si>
  <si>
    <t>201W6310</t>
  </si>
  <si>
    <t>코스피200 C 202506 310.0</t>
  </si>
  <si>
    <t>201W6320</t>
  </si>
  <si>
    <t>코스피200 C 202506 320.0</t>
  </si>
  <si>
    <t>201W6330</t>
  </si>
  <si>
    <t>코스피200 C 202506 330.0</t>
  </si>
  <si>
    <t>201W6340</t>
  </si>
  <si>
    <t>코스피200 C 202506 340.0</t>
  </si>
  <si>
    <t>201W6350</t>
  </si>
  <si>
    <t>코스피200 C 202506 350.0</t>
  </si>
  <si>
    <t>201W6360</t>
  </si>
  <si>
    <t>코스피200 C 202506 360.0</t>
  </si>
  <si>
    <t>201W6370</t>
  </si>
  <si>
    <t>코스피200 C 202506 370.0</t>
  </si>
  <si>
    <t>201W6380</t>
  </si>
  <si>
    <t>코스피200 C 202506 380.0</t>
  </si>
  <si>
    <t>201W6390</t>
  </si>
  <si>
    <t>코스피200 C 202506 390.0</t>
  </si>
  <si>
    <t>201W6400</t>
  </si>
  <si>
    <t>코스피200 C 202506 400.0</t>
  </si>
  <si>
    <t>201W6410</t>
  </si>
  <si>
    <t>코스피200 C 202506 410.0</t>
  </si>
  <si>
    <t>201W6420</t>
  </si>
  <si>
    <t>코스피200 C 202506 420.0</t>
  </si>
  <si>
    <t>201W6430</t>
  </si>
  <si>
    <t>코스피200 C 202506 430.0</t>
  </si>
  <si>
    <t>201W6440</t>
  </si>
  <si>
    <t>코스피200 C 202506 440.0</t>
  </si>
  <si>
    <t>201W6450</t>
  </si>
  <si>
    <t>코스피200 C 202506 450.0</t>
  </si>
  <si>
    <t>201W6460</t>
  </si>
  <si>
    <t>코스피200 C 202506 460.0</t>
  </si>
  <si>
    <t>201W6470</t>
  </si>
  <si>
    <t>코스피200 C 202506 470.0</t>
  </si>
  <si>
    <t>201WC170</t>
  </si>
  <si>
    <t>코스피200 C 202512 170.0</t>
  </si>
  <si>
    <t>201WC180</t>
  </si>
  <si>
    <t>코스피200 C 202512 180.0</t>
  </si>
  <si>
    <t>201WC190</t>
  </si>
  <si>
    <t>코스피200 C 202512 190.0</t>
  </si>
  <si>
    <t>201WC200</t>
  </si>
  <si>
    <t>코스피200 C 202512 200.0</t>
  </si>
  <si>
    <t>201WC210</t>
  </si>
  <si>
    <t>코스피200 C 202512 210.0</t>
  </si>
  <si>
    <t>201WC220</t>
  </si>
  <si>
    <t>코스피200 C 202512 220.0</t>
  </si>
  <si>
    <t>201WC230</t>
  </si>
  <si>
    <t>코스피200 C 202512 230.0</t>
  </si>
  <si>
    <t>201WC240</t>
  </si>
  <si>
    <t>코스피200 C 202512 240.0</t>
  </si>
  <si>
    <t>201WC250</t>
  </si>
  <si>
    <t>코스피200 C 202512 250.0</t>
  </si>
  <si>
    <t>201WC260</t>
  </si>
  <si>
    <t>코스피200 C 202512 260.0</t>
  </si>
  <si>
    <t>201WC270</t>
  </si>
  <si>
    <t>코스피200 C 202512 270.0</t>
  </si>
  <si>
    <t>201WC280</t>
  </si>
  <si>
    <t>코스피200 C 202512 280.0</t>
  </si>
  <si>
    <t>201WC290</t>
  </si>
  <si>
    <t>코스피200 C 202512 290.0</t>
  </si>
  <si>
    <t>201WC300</t>
  </si>
  <si>
    <t>코스피200 C 202512 300.0</t>
  </si>
  <si>
    <t>201WC310</t>
  </si>
  <si>
    <t>코스피200 C 202512 310.0</t>
  </si>
  <si>
    <t>201WC320</t>
  </si>
  <si>
    <t>코스피200 C 202512 320.0</t>
  </si>
  <si>
    <t>201WC330</t>
  </si>
  <si>
    <t>코스피200 C 202512 330.0</t>
  </si>
  <si>
    <t>201WC340</t>
  </si>
  <si>
    <t>코스피200 C 202512 340.0</t>
  </si>
  <si>
    <t>201WC350</t>
  </si>
  <si>
    <t>코스피200 C 202512 350.0</t>
  </si>
  <si>
    <t>201WC360</t>
  </si>
  <si>
    <t>코스피200 C 202512 360.0</t>
  </si>
  <si>
    <t>201WC370</t>
  </si>
  <si>
    <t>코스피200 C 202512 370.0</t>
  </si>
  <si>
    <t>201WC380</t>
  </si>
  <si>
    <t>코스피200 C 202512 380.0</t>
  </si>
  <si>
    <t>201WC390</t>
  </si>
  <si>
    <t>코스피200 C 202512 390.0</t>
  </si>
  <si>
    <t>201WC400</t>
  </si>
  <si>
    <t>코스피200 C 202512 400.0</t>
  </si>
  <si>
    <t>201WC410</t>
  </si>
  <si>
    <t>코스피200 C 202512 410.0</t>
  </si>
  <si>
    <t>201WC420</t>
  </si>
  <si>
    <t>코스피200 C 202512 420.0</t>
  </si>
  <si>
    <t>201WC430</t>
  </si>
  <si>
    <t>코스피200 C 202512 430.0</t>
  </si>
  <si>
    <t>201WC440</t>
  </si>
  <si>
    <t>코스피200 C 202512 440.0</t>
  </si>
  <si>
    <t>201WC450</t>
  </si>
  <si>
    <t>코스피200 C 202512 450.0</t>
  </si>
  <si>
    <t>201WC460</t>
  </si>
  <si>
    <t>코스피200 C 202512 460.0</t>
  </si>
  <si>
    <t>201WC470</t>
  </si>
  <si>
    <t>코스피200 C 202512 470.0</t>
  </si>
  <si>
    <t>B016C220</t>
  </si>
  <si>
    <t>코스피200 C 202612 220.0</t>
  </si>
  <si>
    <t>B016C230</t>
  </si>
  <si>
    <t>코스피200 C 202612 230.0</t>
  </si>
  <si>
    <t>B016C240</t>
  </si>
  <si>
    <t>코스피200 C 202612 240.0</t>
  </si>
  <si>
    <t>B016C250</t>
  </si>
  <si>
    <t>코스피200 C 202612 250.0</t>
  </si>
  <si>
    <t>B016C260</t>
  </si>
  <si>
    <t>코스피200 C 202612 260.0</t>
  </si>
  <si>
    <t>B016C270</t>
  </si>
  <si>
    <t>코스피200 C 202612 270.0</t>
  </si>
  <si>
    <t>B016C280</t>
  </si>
  <si>
    <t>코스피200 C 202612 280.0</t>
  </si>
  <si>
    <t>B016C290</t>
  </si>
  <si>
    <t>코스피200 C 202612 290.0</t>
  </si>
  <si>
    <t>B016C300</t>
  </si>
  <si>
    <t>코스피200 C 202612 300.0</t>
  </si>
  <si>
    <t>B016C310</t>
  </si>
  <si>
    <t>코스피200 C 202612 310.0</t>
  </si>
  <si>
    <t>B016C320</t>
  </si>
  <si>
    <t>코스피200 C 202612 320.0</t>
  </si>
  <si>
    <t>B016C330</t>
  </si>
  <si>
    <t>코스피200 C 202612 330.0</t>
  </si>
  <si>
    <t>B016C340</t>
  </si>
  <si>
    <t>코스피200 C 202612 340.0</t>
  </si>
  <si>
    <t>B016C350</t>
  </si>
  <si>
    <t>코스피200 C 202612 350.0</t>
  </si>
  <si>
    <t>B016C360</t>
  </si>
  <si>
    <t>코스피200 C 202612 360.0</t>
  </si>
  <si>
    <t>B016C370</t>
  </si>
  <si>
    <t>코스피200 C 202612 370.0</t>
  </si>
  <si>
    <t>B016C380</t>
  </si>
  <si>
    <t>코스피200 C 202612 380.0</t>
  </si>
  <si>
    <t>B016C390</t>
  </si>
  <si>
    <t>코스피200 C 202612 390.0</t>
  </si>
  <si>
    <t>B016C400</t>
  </si>
  <si>
    <t>코스피200 C 202612 400.0</t>
  </si>
  <si>
    <t>B016C410</t>
  </si>
  <si>
    <t>코스피200 C 202612 410.0</t>
  </si>
  <si>
    <t>B016C420</t>
  </si>
  <si>
    <t>코스피200 C 202612 420.0</t>
  </si>
  <si>
    <t>B016C430</t>
  </si>
  <si>
    <t>코스피200 C 202612 430.0</t>
  </si>
  <si>
    <t>B016C440</t>
  </si>
  <si>
    <t>코스피200 C 202612 440.0</t>
  </si>
  <si>
    <t>B016C450</t>
  </si>
  <si>
    <t>코스피200 C 202612 450.0</t>
  </si>
  <si>
    <t>B016C460</t>
  </si>
  <si>
    <t>코스피200 C 202612 460.0</t>
  </si>
  <si>
    <t>B016C470</t>
  </si>
  <si>
    <t>코스피200 C 202612 470.0</t>
  </si>
  <si>
    <t>201V5207</t>
  </si>
  <si>
    <t>코스피200 C 202405 207.5</t>
  </si>
  <si>
    <t>201V5212</t>
  </si>
  <si>
    <t>코스피200 C 202405 212.5</t>
  </si>
  <si>
    <t>201V5217</t>
  </si>
  <si>
    <t>코스피200 C 202405 217.5</t>
  </si>
  <si>
    <t>201V5222</t>
  </si>
  <si>
    <t>코스피200 C 202405 222.5</t>
  </si>
  <si>
    <t>201V5227</t>
  </si>
  <si>
    <t>코스피200 C 202405 227.5</t>
  </si>
  <si>
    <t>201V5232</t>
  </si>
  <si>
    <t>코스피200 C 202405 232.5</t>
  </si>
  <si>
    <t>201V5237</t>
  </si>
  <si>
    <t>코스피200 C 202405 237.5</t>
  </si>
  <si>
    <t>201V5242</t>
  </si>
  <si>
    <t>코스피200 C 202405 242.5</t>
  </si>
  <si>
    <t>201V5247</t>
  </si>
  <si>
    <t>코스피200 C 202405 247.5</t>
  </si>
  <si>
    <t>201V5252</t>
  </si>
  <si>
    <t>코스피200 C 202405 252.5</t>
  </si>
  <si>
    <t>201V5257</t>
  </si>
  <si>
    <t>코스피200 C 202405 257.5</t>
  </si>
  <si>
    <t>201V5262</t>
  </si>
  <si>
    <t>코스피200 C 202405 262.5</t>
  </si>
  <si>
    <t>201V5267</t>
  </si>
  <si>
    <t>코스피200 C 202405 267.5</t>
  </si>
  <si>
    <t>201V5272</t>
  </si>
  <si>
    <t>코스피200 C 202405 272.5</t>
  </si>
  <si>
    <t>201V5277</t>
  </si>
  <si>
    <t>코스피200 C 202405 277.5</t>
  </si>
  <si>
    <t>201V5282</t>
  </si>
  <si>
    <t>코스피200 C 202405 282.5</t>
  </si>
  <si>
    <t>201V5287</t>
  </si>
  <si>
    <t>코스피200 C 202405 287.5</t>
  </si>
  <si>
    <t>201V5292</t>
  </si>
  <si>
    <t>코스피200 C 202405 292.5</t>
  </si>
  <si>
    <t>201V5297</t>
  </si>
  <si>
    <t>코스피200 C 202405 297.5</t>
  </si>
  <si>
    <t>201V5302</t>
  </si>
  <si>
    <t>코스피200 C 202405 302.5</t>
  </si>
  <si>
    <t>201V5307</t>
  </si>
  <si>
    <t>코스피200 C 202405 307.5</t>
  </si>
  <si>
    <t>201V5312</t>
  </si>
  <si>
    <t>코스피200 C 202405 312.5</t>
  </si>
  <si>
    <t>201V5317</t>
  </si>
  <si>
    <t>코스피200 C 202405 317.5</t>
  </si>
  <si>
    <t>201V5322</t>
  </si>
  <si>
    <t>코스피200 C 202405 322.5</t>
  </si>
  <si>
    <t>201V5327</t>
  </si>
  <si>
    <t>코스피200 C 202405 327.5</t>
  </si>
  <si>
    <t>201V5332</t>
  </si>
  <si>
    <t>코스피200 C 202405 332.5</t>
  </si>
  <si>
    <t>201V5337</t>
  </si>
  <si>
    <t>코스피200 C 202405 337.5</t>
  </si>
  <si>
    <t>201V5342</t>
  </si>
  <si>
    <t>코스피200 C 202405 342.5</t>
  </si>
  <si>
    <t>201V5347</t>
  </si>
  <si>
    <t>코스피200 C 202405 347.5</t>
  </si>
  <si>
    <t>201V5352</t>
  </si>
  <si>
    <t>코스피200 C 202405 352.5</t>
  </si>
  <si>
    <t>201V5357</t>
  </si>
  <si>
    <t>코스피200 C 202405 357.5</t>
  </si>
  <si>
    <t>201V5362</t>
  </si>
  <si>
    <t>코스피200 C 202405 362.5</t>
  </si>
  <si>
    <t>201V5367</t>
  </si>
  <si>
    <t>코스피200 C 202405 367.5</t>
  </si>
  <si>
    <t>201V5372</t>
  </si>
  <si>
    <t>코스피200 C 202405 372.5</t>
  </si>
  <si>
    <t>201V5377</t>
  </si>
  <si>
    <t>코스피200 C 202405 377.5</t>
  </si>
  <si>
    <t>201V5382</t>
  </si>
  <si>
    <t>코스피200 C 202405 382.5</t>
  </si>
  <si>
    <t>201V5387</t>
  </si>
  <si>
    <t>코스피200 C 202405 387.5</t>
  </si>
  <si>
    <t>201V5392</t>
  </si>
  <si>
    <t>코스피200 C 202405 392.5</t>
  </si>
  <si>
    <t>201V5397</t>
  </si>
  <si>
    <t>코스피200 C 202405 397.5</t>
  </si>
  <si>
    <t>201V5402</t>
  </si>
  <si>
    <t>코스피200 C 202405 402.5</t>
  </si>
  <si>
    <t>201V5407</t>
  </si>
  <si>
    <t>코스피200 C 202405 407.5</t>
  </si>
  <si>
    <t>201V5412</t>
  </si>
  <si>
    <t>코스피200 C 202405 412.5</t>
  </si>
  <si>
    <t>201V5417</t>
  </si>
  <si>
    <t>코스피200 C 202405 417.5</t>
  </si>
  <si>
    <t>201V5422</t>
  </si>
  <si>
    <t>코스피200 C 202405 422.5</t>
  </si>
  <si>
    <t>201V5427</t>
  </si>
  <si>
    <t>코스피200 C 202405 427.5</t>
  </si>
  <si>
    <t>201V5432</t>
  </si>
  <si>
    <t>코스피200 C 202405 432.5</t>
  </si>
  <si>
    <t>201V5437</t>
  </si>
  <si>
    <t>코스피200 C 202405 437.5</t>
  </si>
  <si>
    <t>201V5442</t>
  </si>
  <si>
    <t>코스피200 C 202405 442.5</t>
  </si>
  <si>
    <t>201V5447</t>
  </si>
  <si>
    <t>코스피200 C 202405 447.5</t>
  </si>
  <si>
    <t>201V5452</t>
  </si>
  <si>
    <t>코스피200 C 202405 452.5</t>
  </si>
  <si>
    <t>201V5457</t>
  </si>
  <si>
    <t>코스피200 C 202405 457.5</t>
  </si>
  <si>
    <t>201V5462</t>
  </si>
  <si>
    <t>코스피200 C 202405 462.5</t>
  </si>
  <si>
    <t>201V5467</t>
  </si>
  <si>
    <t>코스피200 C 202405 467.5</t>
  </si>
  <si>
    <t>201V5472</t>
  </si>
  <si>
    <t>코스피200 C 202405 472.5</t>
  </si>
  <si>
    <t>201V5475</t>
  </si>
  <si>
    <t>코스피200 C 202405 475.0</t>
  </si>
  <si>
    <t>201V5477</t>
  </si>
  <si>
    <t>코스피200 C 202405 477.5</t>
  </si>
  <si>
    <t>201V5480</t>
  </si>
  <si>
    <t>코스피200 C 202405 480.0</t>
  </si>
  <si>
    <t>201V6162</t>
  </si>
  <si>
    <t>코스피200 C 202406 162.5</t>
  </si>
  <si>
    <t>201V6167</t>
  </si>
  <si>
    <t>코스피200 C 202406 167.5</t>
  </si>
  <si>
    <t>201V6172</t>
  </si>
  <si>
    <t>코스피200 C 202406 172.5</t>
  </si>
  <si>
    <t>201V6177</t>
  </si>
  <si>
    <t>코스피200 C 202406 177.5</t>
  </si>
  <si>
    <t>201V6182</t>
  </si>
  <si>
    <t>코스피200 C 202406 182.5</t>
  </si>
  <si>
    <t>201V6187</t>
  </si>
  <si>
    <t>코스피200 C 202406 187.5</t>
  </si>
  <si>
    <t>201V6192</t>
  </si>
  <si>
    <t>코스피200 C 202406 192.5</t>
  </si>
  <si>
    <t>201V6197</t>
  </si>
  <si>
    <t>코스피200 C 202406 197.5</t>
  </si>
  <si>
    <t>201V6202</t>
  </si>
  <si>
    <t>코스피200 C 202406 202.5</t>
  </si>
  <si>
    <t>201V6207</t>
  </si>
  <si>
    <t>코스피200 C 202406 207.5</t>
  </si>
  <si>
    <t>201V6212</t>
  </si>
  <si>
    <t>코스피200 C 202406 212.5</t>
  </si>
  <si>
    <t>201V6217</t>
  </si>
  <si>
    <t>코스피200 C 202406 217.5</t>
  </si>
  <si>
    <t>201V6222</t>
  </si>
  <si>
    <t>코스피200 C 202406 222.5</t>
  </si>
  <si>
    <t>201V6227</t>
  </si>
  <si>
    <t>코스피200 C 202406 227.5</t>
  </si>
  <si>
    <t>201V6232</t>
  </si>
  <si>
    <t>코스피200 C 202406 232.5</t>
  </si>
  <si>
    <t>201V6237</t>
  </si>
  <si>
    <t>코스피200 C 202406 237.5</t>
  </si>
  <si>
    <t>201V6242</t>
  </si>
  <si>
    <t>코스피200 C 202406 242.5</t>
  </si>
  <si>
    <t>201V6247</t>
  </si>
  <si>
    <t>코스피200 C 202406 247.5</t>
  </si>
  <si>
    <t>201V6252</t>
  </si>
  <si>
    <t>코스피200 C 202406 252.5</t>
  </si>
  <si>
    <t>201V6257</t>
  </si>
  <si>
    <t>코스피200 C 202406 257.5</t>
  </si>
  <si>
    <t>201V6262</t>
  </si>
  <si>
    <t>코스피200 C 202406 262.5</t>
  </si>
  <si>
    <t>201V6267</t>
  </si>
  <si>
    <t>코스피200 C 202406 267.5</t>
  </si>
  <si>
    <t>201V6272</t>
  </si>
  <si>
    <t>코스피200 C 202406 272.5</t>
  </si>
  <si>
    <t>201V6277</t>
  </si>
  <si>
    <t>코스피200 C 202406 277.5</t>
  </si>
  <si>
    <t>201V6282</t>
  </si>
  <si>
    <t>코스피200 C 202406 282.5</t>
  </si>
  <si>
    <t>201V6287</t>
  </si>
  <si>
    <t>코스피200 C 202406 287.5</t>
  </si>
  <si>
    <t>201V6292</t>
  </si>
  <si>
    <t>코스피200 C 202406 292.5</t>
  </si>
  <si>
    <t>201V6297</t>
  </si>
  <si>
    <t>코스피200 C 202406 297.5</t>
  </si>
  <si>
    <t>201V6302</t>
  </si>
  <si>
    <t>코스피200 C 202406 302.5</t>
  </si>
  <si>
    <t>201V6307</t>
  </si>
  <si>
    <t>코스피200 C 202406 307.5</t>
  </si>
  <si>
    <t>201V6312</t>
  </si>
  <si>
    <t>코스피200 C 202406 312.5</t>
  </si>
  <si>
    <t>201V6317</t>
  </si>
  <si>
    <t>코스피200 C 202406 317.5</t>
  </si>
  <si>
    <t>201V6322</t>
  </si>
  <si>
    <t>코스피200 C 202406 322.5</t>
  </si>
  <si>
    <t>201V6327</t>
  </si>
  <si>
    <t>코스피200 C 202406 327.5</t>
  </si>
  <si>
    <t>201V6332</t>
  </si>
  <si>
    <t>코스피200 C 202406 332.5</t>
  </si>
  <si>
    <t>201V6337</t>
  </si>
  <si>
    <t>코스피200 C 202406 337.5</t>
  </si>
  <si>
    <t>201V6342</t>
  </si>
  <si>
    <t>코스피200 C 202406 342.5</t>
  </si>
  <si>
    <t>201V6347</t>
  </si>
  <si>
    <t>코스피200 C 202406 347.5</t>
  </si>
  <si>
    <t>201V6352</t>
  </si>
  <si>
    <t>코스피200 C 202406 352.5</t>
  </si>
  <si>
    <t>201V6357</t>
  </si>
  <si>
    <t>코스피200 C 202406 357.5</t>
  </si>
  <si>
    <t>201V6362</t>
  </si>
  <si>
    <t>코스피200 C 202406 362.5</t>
  </si>
  <si>
    <t>201V6367</t>
  </si>
  <si>
    <t>코스피200 C 202406 367.5</t>
  </si>
  <si>
    <t>201V6372</t>
  </si>
  <si>
    <t>코스피200 C 202406 372.5</t>
  </si>
  <si>
    <t>201V6377</t>
  </si>
  <si>
    <t>코스피200 C 202406 377.5</t>
  </si>
  <si>
    <t>201V6382</t>
  </si>
  <si>
    <t>코스피200 C 202406 382.5</t>
  </si>
  <si>
    <t>201V6387</t>
  </si>
  <si>
    <t>코스피200 C 202406 387.5</t>
  </si>
  <si>
    <t>201V6392</t>
  </si>
  <si>
    <t>코스피200 C 202406 392.5</t>
  </si>
  <si>
    <t>201V6397</t>
  </si>
  <si>
    <t>코스피200 C 202406 397.5</t>
  </si>
  <si>
    <t>201V6402</t>
  </si>
  <si>
    <t>코스피200 C 202406 402.5</t>
  </si>
  <si>
    <t>201V6407</t>
  </si>
  <si>
    <t>코스피200 C 202406 407.5</t>
  </si>
  <si>
    <t>201V6412</t>
  </si>
  <si>
    <t>코스피200 C 202406 412.5</t>
  </si>
  <si>
    <t>201V6417</t>
  </si>
  <si>
    <t>코스피200 C 202406 417.5</t>
  </si>
  <si>
    <t>201V6422</t>
  </si>
  <si>
    <t>코스피200 C 202406 422.5</t>
  </si>
  <si>
    <t>201V6427</t>
  </si>
  <si>
    <t>코스피200 C 202406 427.5</t>
  </si>
  <si>
    <t>201V6432</t>
  </si>
  <si>
    <t>코스피200 C 202406 432.5</t>
  </si>
  <si>
    <t>201V6437</t>
  </si>
  <si>
    <t>코스피200 C 202406 437.5</t>
  </si>
  <si>
    <t>201V6442</t>
  </si>
  <si>
    <t>코스피200 C 202406 442.5</t>
  </si>
  <si>
    <t>201V6447</t>
  </si>
  <si>
    <t>코스피200 C 202406 447.5</t>
  </si>
  <si>
    <t>201V6452</t>
  </si>
  <si>
    <t>코스피200 C 202406 452.5</t>
  </si>
  <si>
    <t>201V6457</t>
  </si>
  <si>
    <t>코스피200 C 202406 457.5</t>
  </si>
  <si>
    <t>201V6462</t>
  </si>
  <si>
    <t>코스피200 C 202406 462.5</t>
  </si>
  <si>
    <t>201V6467</t>
  </si>
  <si>
    <t>코스피200 C 202406 467.5</t>
  </si>
  <si>
    <t>201V6472</t>
  </si>
  <si>
    <t>코스피200 C 202406 472.5</t>
  </si>
  <si>
    <t>201V6475</t>
  </si>
  <si>
    <t>코스피200 C 202406 475.0</t>
  </si>
  <si>
    <t>201V6477</t>
  </si>
  <si>
    <t>코스피200 C 202406 477.5</t>
  </si>
  <si>
    <t>201V6480</t>
  </si>
  <si>
    <t>코스피200 C 202406 480.0</t>
  </si>
  <si>
    <t>201V6482</t>
  </si>
  <si>
    <t>코스피200 C 202406 482.5</t>
  </si>
  <si>
    <t>201V6485</t>
  </si>
  <si>
    <t>코스피200 C 202406 485.0</t>
  </si>
  <si>
    <t>201V7205</t>
  </si>
  <si>
    <t>코스피200 C 202407 205.0</t>
  </si>
  <si>
    <t>201V7207</t>
  </si>
  <si>
    <t>코스피200 C 202407 207.5</t>
  </si>
  <si>
    <t>201V7210</t>
  </si>
  <si>
    <t>코스피200 C 202407 210.0</t>
  </si>
  <si>
    <t>201V7212</t>
  </si>
  <si>
    <t>코스피200 C 202407 212.5</t>
  </si>
  <si>
    <t>201V7215</t>
  </si>
  <si>
    <t>코스피200 C 202407 215.0</t>
  </si>
  <si>
    <t>201V7217</t>
  </si>
  <si>
    <t>코스피200 C 202407 217.5</t>
  </si>
  <si>
    <t>201V7220</t>
  </si>
  <si>
    <t>코스피200 C 202407 220.0</t>
  </si>
  <si>
    <t>201V7222</t>
  </si>
  <si>
    <t>코스피200 C 202407 222.5</t>
  </si>
  <si>
    <t>201V7225</t>
  </si>
  <si>
    <t>코스피200 C 202407 225.0</t>
  </si>
  <si>
    <t>201V7227</t>
  </si>
  <si>
    <t>코스피200 C 202407 227.5</t>
  </si>
  <si>
    <t>201V7230</t>
  </si>
  <si>
    <t>코스피200 C 202407 230.0</t>
  </si>
  <si>
    <t>201V7232</t>
  </si>
  <si>
    <t>코스피200 C 202407 232.5</t>
  </si>
  <si>
    <t>201V7235</t>
  </si>
  <si>
    <t>코스피200 C 202407 235.0</t>
  </si>
  <si>
    <t>201V7237</t>
  </si>
  <si>
    <t>코스피200 C 202407 237.5</t>
  </si>
  <si>
    <t>201V7240</t>
  </si>
  <si>
    <t>코스피200 C 202407 240.0</t>
  </si>
  <si>
    <t>201V7242</t>
  </si>
  <si>
    <t>코스피200 C 202407 242.5</t>
  </si>
  <si>
    <t>201V7245</t>
  </si>
  <si>
    <t>코스피200 C 202407 245.0</t>
  </si>
  <si>
    <t>201V7247</t>
  </si>
  <si>
    <t>코스피200 C 202407 247.5</t>
  </si>
  <si>
    <t>201V7250</t>
  </si>
  <si>
    <t>코스피200 C 202407 250.0</t>
  </si>
  <si>
    <t>201V7252</t>
  </si>
  <si>
    <t>코스피200 C 202407 252.5</t>
  </si>
  <si>
    <t>201V7255</t>
  </si>
  <si>
    <t>코스피200 C 202407 255.0</t>
  </si>
  <si>
    <t>201V7257</t>
  </si>
  <si>
    <t>코스피200 C 202407 257.5</t>
  </si>
  <si>
    <t>201V7260</t>
  </si>
  <si>
    <t>코스피200 C 202407 260.0</t>
  </si>
  <si>
    <t>201V7262</t>
  </si>
  <si>
    <t>코스피200 C 202407 262.5</t>
  </si>
  <si>
    <t>201V7265</t>
  </si>
  <si>
    <t>코스피200 C 202407 265.0</t>
  </si>
  <si>
    <t>201V7267</t>
  </si>
  <si>
    <t>코스피200 C 202407 267.5</t>
  </si>
  <si>
    <t>201V7270</t>
  </si>
  <si>
    <t>코스피200 C 202407 270.0</t>
  </si>
  <si>
    <t>201V7272</t>
  </si>
  <si>
    <t>코스피200 C 202407 272.5</t>
  </si>
  <si>
    <t>201V7275</t>
  </si>
  <si>
    <t>코스피200 C 202407 275.0</t>
  </si>
  <si>
    <t>201V7277</t>
  </si>
  <si>
    <t>코스피200 C 202407 277.5</t>
  </si>
  <si>
    <t>201V7280</t>
  </si>
  <si>
    <t>코스피200 C 202407 280.0</t>
  </si>
  <si>
    <t>201V7282</t>
  </si>
  <si>
    <t>코스피200 C 202407 282.5</t>
  </si>
  <si>
    <t>201V7285</t>
  </si>
  <si>
    <t>코스피200 C 202407 285.0</t>
  </si>
  <si>
    <t>201V7287</t>
  </si>
  <si>
    <t>코스피200 C 202407 287.5</t>
  </si>
  <si>
    <t>201V7290</t>
  </si>
  <si>
    <t>코스피200 C 202407 290.0</t>
  </si>
  <si>
    <t>201V7292</t>
  </si>
  <si>
    <t>코스피200 C 202407 292.5</t>
  </si>
  <si>
    <t>201V7295</t>
  </si>
  <si>
    <t>코스피200 C 202407 295.0</t>
  </si>
  <si>
    <t>201V7297</t>
  </si>
  <si>
    <t>코스피200 C 202407 297.5</t>
  </si>
  <si>
    <t>201V7300</t>
  </si>
  <si>
    <t>코스피200 C 202407 300.0</t>
  </si>
  <si>
    <t>201V7302</t>
  </si>
  <si>
    <t>코스피200 C 202407 302.5</t>
  </si>
  <si>
    <t>201V7305</t>
  </si>
  <si>
    <t>코스피200 C 202407 305.0</t>
  </si>
  <si>
    <t>201V7307</t>
  </si>
  <si>
    <t>코스피200 C 202407 307.5</t>
  </si>
  <si>
    <t>201V7310</t>
  </si>
  <si>
    <t>코스피200 C 202407 310.0</t>
  </si>
  <si>
    <t>201V7312</t>
  </si>
  <si>
    <t>코스피200 C 202407 312.5</t>
  </si>
  <si>
    <t>201V7315</t>
  </si>
  <si>
    <t>코스피200 C 202407 315.0</t>
  </si>
  <si>
    <t>201V7317</t>
  </si>
  <si>
    <t>코스피200 C 202407 317.5</t>
  </si>
  <si>
    <t>201V7320</t>
  </si>
  <si>
    <t>코스피200 C 202407 320.0</t>
  </si>
  <si>
    <t>201V7322</t>
  </si>
  <si>
    <t>코스피200 C 202407 322.5</t>
  </si>
  <si>
    <t>201V7325</t>
  </si>
  <si>
    <t>코스피200 C 202407 325.0</t>
  </si>
  <si>
    <t>201V7327</t>
  </si>
  <si>
    <t>코스피200 C 202407 327.5</t>
  </si>
  <si>
    <t>201V7330</t>
  </si>
  <si>
    <t>코스피200 C 202407 330.0</t>
  </si>
  <si>
    <t>201V7332</t>
  </si>
  <si>
    <t>코스피200 C 202407 332.5</t>
  </si>
  <si>
    <t>201V7335</t>
  </si>
  <si>
    <t>코스피200 C 202407 335.0</t>
  </si>
  <si>
    <t>201V7337</t>
  </si>
  <si>
    <t>코스피200 C 202407 337.5</t>
  </si>
  <si>
    <t>201V7340</t>
  </si>
  <si>
    <t>코스피200 C 202407 340.0</t>
  </si>
  <si>
    <t>201V7342</t>
  </si>
  <si>
    <t>코스피200 C 202407 342.5</t>
  </si>
  <si>
    <t>201V7345</t>
  </si>
  <si>
    <t>코스피200 C 202407 345.0</t>
  </si>
  <si>
    <t>201V7347</t>
  </si>
  <si>
    <t>코스피200 C 202407 347.5</t>
  </si>
  <si>
    <t>201V7350</t>
  </si>
  <si>
    <t>코스피200 C 202407 350.0</t>
  </si>
  <si>
    <t>201V7352</t>
  </si>
  <si>
    <t>코스피200 C 202407 352.5</t>
  </si>
  <si>
    <t>201V7355</t>
  </si>
  <si>
    <t>코스피200 C 202407 355.0</t>
  </si>
  <si>
    <t>201V7357</t>
  </si>
  <si>
    <t>코스피200 C 202407 357.5</t>
  </si>
  <si>
    <t>201V7360</t>
  </si>
  <si>
    <t>코스피200 C 202407 360.0</t>
  </si>
  <si>
    <t>201V7362</t>
  </si>
  <si>
    <t>코스피200 C 202407 362.5</t>
  </si>
  <si>
    <t>201V7365</t>
  </si>
  <si>
    <t>코스피200 C 202407 365.0</t>
  </si>
  <si>
    <t>201V7367</t>
  </si>
  <si>
    <t>코스피200 C 202407 367.5</t>
  </si>
  <si>
    <t>201V7370</t>
  </si>
  <si>
    <t>코스피200 C 202407 370.0</t>
  </si>
  <si>
    <t>201V7372</t>
  </si>
  <si>
    <t>코스피200 C 202407 372.5</t>
  </si>
  <si>
    <t>201V7375</t>
  </si>
  <si>
    <t>코스피200 C 202407 375.0</t>
  </si>
  <si>
    <t>201V7377</t>
  </si>
  <si>
    <t>코스피200 C 202407 377.5</t>
  </si>
  <si>
    <t>201V7380</t>
  </si>
  <si>
    <t>코스피200 C 202407 380.0</t>
  </si>
  <si>
    <t>201V7382</t>
  </si>
  <si>
    <t>코스피200 C 202407 382.5</t>
  </si>
  <si>
    <t>201V7385</t>
  </si>
  <si>
    <t>코스피200 C 202407 385.0</t>
  </si>
  <si>
    <t>201V7387</t>
  </si>
  <si>
    <t>코스피200 C 202407 387.5</t>
  </si>
  <si>
    <t>201V7390</t>
  </si>
  <si>
    <t>코스피200 C 202407 390.0</t>
  </si>
  <si>
    <t>201V7392</t>
  </si>
  <si>
    <t>코스피200 C 202407 392.5</t>
  </si>
  <si>
    <t>201V7395</t>
  </si>
  <si>
    <t>코스피200 C 202407 395.0</t>
  </si>
  <si>
    <t>201V7397</t>
  </si>
  <si>
    <t>코스피200 C 202407 397.5</t>
  </si>
  <si>
    <t>201V7400</t>
  </si>
  <si>
    <t>코스피200 C 202407 400.0</t>
  </si>
  <si>
    <t>201V7402</t>
  </si>
  <si>
    <t>코스피200 C 202407 402.5</t>
  </si>
  <si>
    <t>201V7405</t>
  </si>
  <si>
    <t>코스피200 C 202407 405.0</t>
  </si>
  <si>
    <t>201V7407</t>
  </si>
  <si>
    <t>코스피200 C 202407 407.5</t>
  </si>
  <si>
    <t>201V7410</t>
  </si>
  <si>
    <t>코스피200 C 202407 410.0</t>
  </si>
  <si>
    <t>201V7412</t>
  </si>
  <si>
    <t>코스피200 C 202407 412.5</t>
  </si>
  <si>
    <t>201V7415</t>
  </si>
  <si>
    <t>코스피200 C 202407 415.0</t>
  </si>
  <si>
    <t>201V7417</t>
  </si>
  <si>
    <t>코스피200 C 202407 417.5</t>
  </si>
  <si>
    <t>201V7420</t>
  </si>
  <si>
    <t>코스피200 C 202407 420.0</t>
  </si>
  <si>
    <t>201V7422</t>
  </si>
  <si>
    <t>코스피200 C 202407 422.5</t>
  </si>
  <si>
    <t>201V7425</t>
  </si>
  <si>
    <t>코스피200 C 202407 425.0</t>
  </si>
  <si>
    <t>201V7427</t>
  </si>
  <si>
    <t>코스피200 C 202407 427.5</t>
  </si>
  <si>
    <t>201V7430</t>
  </si>
  <si>
    <t>코스피200 C 202407 430.0</t>
  </si>
  <si>
    <t>201V7432</t>
  </si>
  <si>
    <t>코스피200 C 202407 432.5</t>
  </si>
  <si>
    <t>201V7435</t>
  </si>
  <si>
    <t>코스피200 C 202407 435.0</t>
  </si>
  <si>
    <t>201V7437</t>
  </si>
  <si>
    <t>코스피200 C 202407 437.5</t>
  </si>
  <si>
    <t>201V7440</t>
  </si>
  <si>
    <t>코스피200 C 202407 440.0</t>
  </si>
  <si>
    <t>201V7442</t>
  </si>
  <si>
    <t>코스피200 C 202407 442.5</t>
  </si>
  <si>
    <t>201V7445</t>
  </si>
  <si>
    <t>코스피200 C 202407 445.0</t>
  </si>
  <si>
    <t>201V7447</t>
  </si>
  <si>
    <t>코스피200 C 202407 447.5</t>
  </si>
  <si>
    <t>201V7450</t>
  </si>
  <si>
    <t>코스피200 C 202407 450.0</t>
  </si>
  <si>
    <t>201V7452</t>
  </si>
  <si>
    <t>코스피200 C 202407 452.5</t>
  </si>
  <si>
    <t>201V7455</t>
  </si>
  <si>
    <t>코스피200 C 202407 455.0</t>
  </si>
  <si>
    <t>201V7457</t>
  </si>
  <si>
    <t>코스피200 C 202407 457.5</t>
  </si>
  <si>
    <t>201V7460</t>
  </si>
  <si>
    <t>코스피200 C 202407 460.0</t>
  </si>
  <si>
    <t>201V7462</t>
  </si>
  <si>
    <t>코스피200 C 202407 462.5</t>
  </si>
  <si>
    <t>201V7465</t>
  </si>
  <si>
    <t>코스피200 C 202407 465.0</t>
  </si>
  <si>
    <t>201V7467</t>
  </si>
  <si>
    <t>코스피200 C 202407 467.5</t>
  </si>
  <si>
    <t>201V7470</t>
  </si>
  <si>
    <t>코스피200 C 202407 470.0</t>
  </si>
  <si>
    <t>201V7472</t>
  </si>
  <si>
    <t>코스피200 C 202407 472.5</t>
  </si>
  <si>
    <t>201V7475</t>
  </si>
  <si>
    <t>코스피200 C 202407 475.0</t>
  </si>
  <si>
    <t>201V7477</t>
  </si>
  <si>
    <t>코스피200 C 202407 477.5</t>
  </si>
  <si>
    <t>201V7480</t>
  </si>
  <si>
    <t>코스피200 C 202407 480.0</t>
  </si>
  <si>
    <t>201V7482</t>
  </si>
  <si>
    <t>코스피200 C 202407 482.5</t>
  </si>
  <si>
    <t>201V7485</t>
  </si>
  <si>
    <t>코스피200 C 202407 485.0</t>
  </si>
  <si>
    <t>201V7487</t>
  </si>
  <si>
    <t>코스피200 C 202407 487.5</t>
  </si>
  <si>
    <t>201V7490</t>
  </si>
  <si>
    <t>코스피200 C 202407 490.0</t>
  </si>
  <si>
    <t>201V7492</t>
  </si>
  <si>
    <t>코스피200 C 202407 492.5</t>
  </si>
  <si>
    <t>201V7495</t>
  </si>
  <si>
    <t>코스피200 C 202407 495.0</t>
  </si>
  <si>
    <t>201V8230</t>
  </si>
  <si>
    <t>코스피200 C 202408 230.0</t>
  </si>
  <si>
    <t>201V8235</t>
  </si>
  <si>
    <t>코스피200 C 202408 235.0</t>
  </si>
  <si>
    <t>201V8240</t>
  </si>
  <si>
    <t>코스피200 C 202408 240.0</t>
  </si>
  <si>
    <t>201V8245</t>
  </si>
  <si>
    <t>코스피200 C 202408 245.0</t>
  </si>
  <si>
    <t>201V8250</t>
  </si>
  <si>
    <t>코스피200 C 202408 250.0</t>
  </si>
  <si>
    <t>201V8255</t>
  </si>
  <si>
    <t>코스피200 C 202408 255.0</t>
  </si>
  <si>
    <t>201V8260</t>
  </si>
  <si>
    <t>코스피200 C 202408 260.0</t>
  </si>
  <si>
    <t>201V8265</t>
  </si>
  <si>
    <t>코스피200 C 202408 265.0</t>
  </si>
  <si>
    <t>201V8270</t>
  </si>
  <si>
    <t>코스피200 C 202408 270.0</t>
  </si>
  <si>
    <t>201V8275</t>
  </si>
  <si>
    <t>코스피200 C 202408 275.0</t>
  </si>
  <si>
    <t>201V8280</t>
  </si>
  <si>
    <t>코스피200 C 202408 280.0</t>
  </si>
  <si>
    <t>201V8285</t>
  </si>
  <si>
    <t>코스피200 C 202408 285.0</t>
  </si>
  <si>
    <t>201V8290</t>
  </si>
  <si>
    <t>코스피200 C 202408 290.0</t>
  </si>
  <si>
    <t>201V8295</t>
  </si>
  <si>
    <t>코스피200 C 202408 295.0</t>
  </si>
  <si>
    <t>201V8300</t>
  </si>
  <si>
    <t>코스피200 C 202408 300.0</t>
  </si>
  <si>
    <t>201V8305</t>
  </si>
  <si>
    <t>코스피200 C 202408 305.0</t>
  </si>
  <si>
    <t>201V8310</t>
  </si>
  <si>
    <t>코스피200 C 202408 310.0</t>
  </si>
  <si>
    <t>201V8315</t>
  </si>
  <si>
    <t>코스피200 C 202408 315.0</t>
  </si>
  <si>
    <t>201V8320</t>
  </si>
  <si>
    <t>코스피200 C 202408 320.0</t>
  </si>
  <si>
    <t>201V8325</t>
  </si>
  <si>
    <t>코스피200 C 202408 325.0</t>
  </si>
  <si>
    <t>201V8330</t>
  </si>
  <si>
    <t>코스피200 C 202408 330.0</t>
  </si>
  <si>
    <t>201V8335</t>
  </si>
  <si>
    <t>코스피200 C 202408 335.0</t>
  </si>
  <si>
    <t>201V8340</t>
  </si>
  <si>
    <t>코스피200 C 202408 340.0</t>
  </si>
  <si>
    <t>201V8345</t>
  </si>
  <si>
    <t>코스피200 C 202408 345.0</t>
  </si>
  <si>
    <t>201V8350</t>
  </si>
  <si>
    <t>코스피200 C 202408 350.0</t>
  </si>
  <si>
    <t>201V8355</t>
  </si>
  <si>
    <t>코스피200 C 202408 355.0</t>
  </si>
  <si>
    <t>201V8360</t>
  </si>
  <si>
    <t>코스피200 C 202408 360.0</t>
  </si>
  <si>
    <t>201V8365</t>
  </si>
  <si>
    <t>코스피200 C 202408 365.0</t>
  </si>
  <si>
    <t>201V8370</t>
  </si>
  <si>
    <t>코스피200 C 202408 370.0</t>
  </si>
  <si>
    <t>201V8375</t>
  </si>
  <si>
    <t>코스피200 C 202408 375.0</t>
  </si>
  <si>
    <t>201V8380</t>
  </si>
  <si>
    <t>코스피200 C 202408 380.0</t>
  </si>
  <si>
    <t>201V8385</t>
  </si>
  <si>
    <t>코스피200 C 202408 385.0</t>
  </si>
  <si>
    <t>201V8390</t>
  </si>
  <si>
    <t>코스피200 C 202408 390.0</t>
  </si>
  <si>
    <t>201V8395</t>
  </si>
  <si>
    <t>코스피200 C 202408 395.0</t>
  </si>
  <si>
    <t>201V8400</t>
  </si>
  <si>
    <t>코스피200 C 202408 400.0</t>
  </si>
  <si>
    <t>201V8405</t>
  </si>
  <si>
    <t>코스피200 C 202408 405.0</t>
  </si>
  <si>
    <t>201V8410</t>
  </si>
  <si>
    <t>코스피200 C 202408 410.0</t>
  </si>
  <si>
    <t>201V8415</t>
  </si>
  <si>
    <t>코스피200 C 202408 415.0</t>
  </si>
  <si>
    <t>201V8420</t>
  </si>
  <si>
    <t>코스피200 C 202408 420.0</t>
  </si>
  <si>
    <t>201V8425</t>
  </si>
  <si>
    <t>코스피200 C 202408 425.0</t>
  </si>
  <si>
    <t>201V8430</t>
  </si>
  <si>
    <t>코스피200 C 202408 430.0</t>
  </si>
  <si>
    <t>201V8435</t>
  </si>
  <si>
    <t>코스피200 C 202408 435.0</t>
  </si>
  <si>
    <t>201V8440</t>
  </si>
  <si>
    <t>코스피200 C 202408 440.0</t>
  </si>
  <si>
    <t>201V8445</t>
  </si>
  <si>
    <t>코스피200 C 202408 445.0</t>
  </si>
  <si>
    <t>201V8450</t>
  </si>
  <si>
    <t>코스피200 C 202408 450.0</t>
  </si>
  <si>
    <t>201V8455</t>
  </si>
  <si>
    <t>코스피200 C 202408 455.0</t>
  </si>
  <si>
    <t>201V8460</t>
  </si>
  <si>
    <t>코스피200 C 202408 460.0</t>
  </si>
  <si>
    <t>201V8465</t>
  </si>
  <si>
    <t>코스피200 C 202408 465.0</t>
  </si>
  <si>
    <t>201V8470</t>
  </si>
  <si>
    <t>코스피200 C 202408 470.0</t>
  </si>
  <si>
    <t>201V8475</t>
  </si>
  <si>
    <t>코스피200 C 202408 475.0</t>
  </si>
  <si>
    <t>201V8480</t>
  </si>
  <si>
    <t>코스피200 C 202408 480.0</t>
  </si>
  <si>
    <t>201V8485</t>
  </si>
  <si>
    <t>코스피200 C 202408 485.0</t>
  </si>
  <si>
    <t>201V8490</t>
  </si>
  <si>
    <t>코스피200 C 202408 490.0</t>
  </si>
  <si>
    <t>201V8495</t>
  </si>
  <si>
    <t>코스피200 C 202408 495.0</t>
  </si>
  <si>
    <t>201V9475</t>
  </si>
  <si>
    <t>코스피200 C 202409 475.0</t>
  </si>
  <si>
    <t>201V9480</t>
  </si>
  <si>
    <t>코스피200 C 202409 480.0</t>
  </si>
  <si>
    <t>201V9485</t>
  </si>
  <si>
    <t>코스피200 C 202409 485.0</t>
  </si>
  <si>
    <t>201V9490</t>
  </si>
  <si>
    <t>코스피200 C 202409 490.0</t>
  </si>
  <si>
    <t>201V9495</t>
  </si>
  <si>
    <t>코스피200 C 202409 495.0</t>
  </si>
  <si>
    <t>201VA235</t>
  </si>
  <si>
    <t>코스피200 C 202410 235.0</t>
  </si>
  <si>
    <t>201VA240</t>
  </si>
  <si>
    <t>코스피200 C 202410 240.0</t>
  </si>
  <si>
    <t>201VA245</t>
  </si>
  <si>
    <t>코스피200 C 202410 245.0</t>
  </si>
  <si>
    <t>201VA250</t>
  </si>
  <si>
    <t>코스피200 C 202410 250.0</t>
  </si>
  <si>
    <t>201VA255</t>
  </si>
  <si>
    <t>코스피200 C 202410 255.0</t>
  </si>
  <si>
    <t>201VA260</t>
  </si>
  <si>
    <t>코스피200 C 202410 260.0</t>
  </si>
  <si>
    <t>201VA265</t>
  </si>
  <si>
    <t>코스피200 C 202410 265.0</t>
  </si>
  <si>
    <t>201VA270</t>
  </si>
  <si>
    <t>코스피200 C 202410 270.0</t>
  </si>
  <si>
    <t>201VA275</t>
  </si>
  <si>
    <t>코스피200 C 202410 275.0</t>
  </si>
  <si>
    <t>201VA280</t>
  </si>
  <si>
    <t>코스피200 C 202410 280.0</t>
  </si>
  <si>
    <t>201VA285</t>
  </si>
  <si>
    <t>코스피200 C 202410 285.0</t>
  </si>
  <si>
    <t>201VA290</t>
  </si>
  <si>
    <t>코스피200 C 202410 290.0</t>
  </si>
  <si>
    <t>201VA295</t>
  </si>
  <si>
    <t>코스피200 C 202410 295.0</t>
  </si>
  <si>
    <t>201VA300</t>
  </si>
  <si>
    <t>코스피200 C 202410 300.0</t>
  </si>
  <si>
    <t>201VA305</t>
  </si>
  <si>
    <t>코스피200 C 202410 305.0</t>
  </si>
  <si>
    <t>201VA310</t>
  </si>
  <si>
    <t>코스피200 C 202410 310.0</t>
  </si>
  <si>
    <t>201VA315</t>
  </si>
  <si>
    <t>코스피200 C 202410 315.0</t>
  </si>
  <si>
    <t>201VA320</t>
  </si>
  <si>
    <t>코스피200 C 202410 320.0</t>
  </si>
  <si>
    <t>201VA325</t>
  </si>
  <si>
    <t>코스피200 C 202410 325.0</t>
  </si>
  <si>
    <t>201VA330</t>
  </si>
  <si>
    <t>코스피200 C 202410 330.0</t>
  </si>
  <si>
    <t>201VA335</t>
  </si>
  <si>
    <t>코스피200 C 202410 335.0</t>
  </si>
  <si>
    <t>201VA340</t>
  </si>
  <si>
    <t>코스피200 C 202410 340.0</t>
  </si>
  <si>
    <t>201VA345</t>
  </si>
  <si>
    <t>코스피200 C 202410 345.0</t>
  </si>
  <si>
    <t>201VA350</t>
  </si>
  <si>
    <t>코스피200 C 202410 350.0</t>
  </si>
  <si>
    <t>201VA355</t>
  </si>
  <si>
    <t>코스피200 C 202410 355.0</t>
  </si>
  <si>
    <t>201VA360</t>
  </si>
  <si>
    <t>코스피200 C 202410 360.0</t>
  </si>
  <si>
    <t>201VA365</t>
  </si>
  <si>
    <t>코스피200 C 202410 365.0</t>
  </si>
  <si>
    <t>201VA370</t>
  </si>
  <si>
    <t>코스피200 C 202410 370.0</t>
  </si>
  <si>
    <t>201VA375</t>
  </si>
  <si>
    <t>코스피200 C 202410 375.0</t>
  </si>
  <si>
    <t>201VA380</t>
  </si>
  <si>
    <t>코스피200 C 202410 380.0</t>
  </si>
  <si>
    <t>201VA385</t>
  </si>
  <si>
    <t>코스피200 C 202410 385.0</t>
  </si>
  <si>
    <t>201VA390</t>
  </si>
  <si>
    <t>코스피200 C 202410 390.0</t>
  </si>
  <si>
    <t>201VA395</t>
  </si>
  <si>
    <t>코스피200 C 202410 395.0</t>
  </si>
  <si>
    <t>201VA400</t>
  </si>
  <si>
    <t>코스피200 C 202410 400.0</t>
  </si>
  <si>
    <t>201VA405</t>
  </si>
  <si>
    <t>코스피200 C 202410 405.0</t>
  </si>
  <si>
    <t>201VA410</t>
  </si>
  <si>
    <t>코스피200 C 202410 410.0</t>
  </si>
  <si>
    <t>201VA415</t>
  </si>
  <si>
    <t>코스피200 C 202410 415.0</t>
  </si>
  <si>
    <t>201VA420</t>
  </si>
  <si>
    <t>코스피200 C 202410 420.0</t>
  </si>
  <si>
    <t>201VA425</t>
  </si>
  <si>
    <t>코스피200 C 202410 425.0</t>
  </si>
  <si>
    <t>201VA430</t>
  </si>
  <si>
    <t>코스피200 C 202410 430.0</t>
  </si>
  <si>
    <t>201VA435</t>
  </si>
  <si>
    <t>코스피200 C 202410 435.0</t>
  </si>
  <si>
    <t>201VA440</t>
  </si>
  <si>
    <t>코스피200 C 202410 440.0</t>
  </si>
  <si>
    <t>201VA445</t>
  </si>
  <si>
    <t>코스피200 C 202410 445.0</t>
  </si>
  <si>
    <t>201VA450</t>
  </si>
  <si>
    <t>코스피200 C 202410 450.0</t>
  </si>
  <si>
    <t>201VA455</t>
  </si>
  <si>
    <t>코스피200 C 202410 455.0</t>
  </si>
  <si>
    <t>201VA460</t>
  </si>
  <si>
    <t>코스피200 C 202410 460.0</t>
  </si>
  <si>
    <t>201VA465</t>
  </si>
  <si>
    <t>코스피200 C 202410 465.0</t>
  </si>
  <si>
    <t>201VA470</t>
  </si>
  <si>
    <t>코스피200 C 202410 470.0</t>
  </si>
  <si>
    <t>201VA475</t>
  </si>
  <si>
    <t>코스피200 C 202410 475.0</t>
  </si>
  <si>
    <t>201VA480</t>
  </si>
  <si>
    <t>코스피200 C 202410 480.0</t>
  </si>
  <si>
    <t>201VA485</t>
  </si>
  <si>
    <t>코스피200 C 202410 485.0</t>
  </si>
  <si>
    <t>201VA490</t>
  </si>
  <si>
    <t>코스피200 C 202410 490.0</t>
  </si>
  <si>
    <t>201W3235</t>
  </si>
  <si>
    <t>코스피200 C 202503 235.0</t>
  </si>
  <si>
    <t>201W3240</t>
  </si>
  <si>
    <t>코스피200 C 202503 240.0</t>
  </si>
  <si>
    <t>201W3245</t>
  </si>
  <si>
    <t>코스피200 C 202503 245.0</t>
  </si>
  <si>
    <t>201W3250</t>
  </si>
  <si>
    <t>코스피200 C 202503 250.0</t>
  </si>
  <si>
    <t>201W3255</t>
  </si>
  <si>
    <t>코스피200 C 202503 255.0</t>
  </si>
  <si>
    <t>201W3260</t>
  </si>
  <si>
    <t>코스피200 C 202503 260.0</t>
  </si>
  <si>
    <t>201W3265</t>
  </si>
  <si>
    <t>코스피200 C 202503 265.0</t>
  </si>
  <si>
    <t>201W3270</t>
  </si>
  <si>
    <t>코스피200 C 202503 270.0</t>
  </si>
  <si>
    <t>201W3275</t>
  </si>
  <si>
    <t>코스피200 C 202503 275.0</t>
  </si>
  <si>
    <t>201W3280</t>
  </si>
  <si>
    <t>코스피200 C 202503 280.0</t>
  </si>
  <si>
    <t>201W3285</t>
  </si>
  <si>
    <t>코스피200 C 202503 285.0</t>
  </si>
  <si>
    <t>201W3290</t>
  </si>
  <si>
    <t>코스피200 C 202503 290.0</t>
  </si>
  <si>
    <t>201W3295</t>
  </si>
  <si>
    <t>코스피200 C 202503 295.0</t>
  </si>
  <si>
    <t>201W3300</t>
  </si>
  <si>
    <t>코스피200 C 202503 300.0</t>
  </si>
  <si>
    <t>201W3305</t>
  </si>
  <si>
    <t>코스피200 C 202503 305.0</t>
  </si>
  <si>
    <t>201W3310</t>
  </si>
  <si>
    <t>코스피200 C 202503 310.0</t>
  </si>
  <si>
    <t>201W3315</t>
  </si>
  <si>
    <t>코스피200 C 202503 315.0</t>
  </si>
  <si>
    <t>201W3320</t>
  </si>
  <si>
    <t>코스피200 C 202503 320.0</t>
  </si>
  <si>
    <t>201W3325</t>
  </si>
  <si>
    <t>코스피200 C 202503 325.0</t>
  </si>
  <si>
    <t>201W3330</t>
  </si>
  <si>
    <t>코스피200 C 202503 330.0</t>
  </si>
  <si>
    <t>201W3335</t>
  </si>
  <si>
    <t>코스피200 C 202503 335.0</t>
  </si>
  <si>
    <t>201W3340</t>
  </si>
  <si>
    <t>코스피200 C 202503 340.0</t>
  </si>
  <si>
    <t>201W3345</t>
  </si>
  <si>
    <t>코스피200 C 202503 345.0</t>
  </si>
  <si>
    <t>201W3350</t>
  </si>
  <si>
    <t>코스피200 C 202503 350.0</t>
  </si>
  <si>
    <t>201W3355</t>
  </si>
  <si>
    <t>코스피200 C 202503 355.0</t>
  </si>
  <si>
    <t>201W3360</t>
  </si>
  <si>
    <t>코스피200 C 202503 360.0</t>
  </si>
  <si>
    <t>201W3365</t>
  </si>
  <si>
    <t>코스피200 C 202503 365.0</t>
  </si>
  <si>
    <t>201W3370</t>
  </si>
  <si>
    <t>코스피200 C 202503 370.0</t>
  </si>
  <si>
    <t>201W3375</t>
  </si>
  <si>
    <t>코스피200 C 202503 375.0</t>
  </si>
  <si>
    <t>201W3380</t>
  </si>
  <si>
    <t>코스피200 C 202503 380.0</t>
  </si>
  <si>
    <t>201W3385</t>
  </si>
  <si>
    <t>코스피200 C 202503 385.0</t>
  </si>
  <si>
    <t>201W3390</t>
  </si>
  <si>
    <t>코스피200 C 202503 390.0</t>
  </si>
  <si>
    <t>201W3395</t>
  </si>
  <si>
    <t>코스피200 C 202503 395.0</t>
  </si>
  <si>
    <t>201W3400</t>
  </si>
  <si>
    <t>코스피200 C 202503 400.0</t>
  </si>
  <si>
    <t>201W3405</t>
  </si>
  <si>
    <t>코스피200 C 202503 405.0</t>
  </si>
  <si>
    <t>201W3410</t>
  </si>
  <si>
    <t>코스피200 C 202503 410.0</t>
  </si>
  <si>
    <t>201W3415</t>
  </si>
  <si>
    <t>코스피200 C 202503 415.0</t>
  </si>
  <si>
    <t>201W3420</t>
  </si>
  <si>
    <t>코스피200 C 202503 420.0</t>
  </si>
  <si>
    <t>201W3425</t>
  </si>
  <si>
    <t>코스피200 C 202503 425.0</t>
  </si>
  <si>
    <t>201W3430</t>
  </si>
  <si>
    <t>코스피200 C 202503 430.0</t>
  </si>
  <si>
    <t>201W3435</t>
  </si>
  <si>
    <t>코스피200 C 202503 435.0</t>
  </si>
  <si>
    <t>201W3440</t>
  </si>
  <si>
    <t>코스피200 C 202503 440.0</t>
  </si>
  <si>
    <t>201W3445</t>
  </si>
  <si>
    <t>코스피200 C 202503 445.0</t>
  </si>
  <si>
    <t>201W3450</t>
  </si>
  <si>
    <t>코스피200 C 202503 450.0</t>
  </si>
  <si>
    <t>201W3455</t>
  </si>
  <si>
    <t>코스피200 C 202503 455.0</t>
  </si>
  <si>
    <t>201W3460</t>
  </si>
  <si>
    <t>코스피200 C 202503 460.0</t>
  </si>
  <si>
    <t>201W3465</t>
  </si>
  <si>
    <t>코스피200 C 202503 465.0</t>
  </si>
  <si>
    <t>201W3470</t>
  </si>
  <si>
    <t>코스피200 C 202503 470.0</t>
  </si>
  <si>
    <t>201W3475</t>
  </si>
  <si>
    <t>코스피200 C 202503 475.0</t>
  </si>
  <si>
    <t>201W3480</t>
  </si>
  <si>
    <t>코스피200 C 202503 480.0</t>
  </si>
  <si>
    <t>201W3485</t>
  </si>
  <si>
    <t>코스피200 C 202503 485.0</t>
  </si>
  <si>
    <t>201W3490</t>
  </si>
  <si>
    <t>코스피200 C 202503 490.0</t>
  </si>
  <si>
    <t>201W3495</t>
  </si>
  <si>
    <t>코스피200 C 202503 495.0</t>
  </si>
  <si>
    <t>201W6480</t>
  </si>
  <si>
    <t>코스피200 C 202506 480.0</t>
  </si>
  <si>
    <t>201W6490</t>
  </si>
  <si>
    <t>코스피200 C 202506 490.0</t>
  </si>
  <si>
    <t>201W6500</t>
  </si>
  <si>
    <t>코스피200 C 202506 500.0</t>
  </si>
  <si>
    <t>201WC480</t>
  </si>
  <si>
    <t>코스피200 C 202512 480.0</t>
  </si>
  <si>
    <t>201WC490</t>
  </si>
  <si>
    <t>코스피200 C 202512 490.0</t>
  </si>
  <si>
    <t>201WC500</t>
  </si>
  <si>
    <t>코스피200 C 202512 500.0</t>
  </si>
  <si>
    <t>B016C210</t>
  </si>
  <si>
    <t>코스피200 C 202612 210.0</t>
  </si>
  <si>
    <t>B016C480</t>
  </si>
  <si>
    <t>코스피200 C 202612 480.0</t>
  </si>
  <si>
    <t>B016C490</t>
  </si>
  <si>
    <t>코스피200 C 202612 490.0</t>
  </si>
  <si>
    <t>B016C500</t>
  </si>
  <si>
    <t>코스피200 C 202612 500.0</t>
  </si>
  <si>
    <t>S</t>
    <phoneticPr fontId="1" type="noConversion"/>
  </si>
  <si>
    <t>opt1</t>
    <phoneticPr fontId="1" type="noConversion"/>
  </si>
  <si>
    <t>opt2</t>
    <phoneticPr fontId="1" type="noConversion"/>
  </si>
  <si>
    <t>opt3</t>
    <phoneticPr fontId="1" type="noConversion"/>
  </si>
  <si>
    <t>opt4</t>
    <phoneticPr fontId="1" type="noConversion"/>
  </si>
  <si>
    <t>calibrated</t>
    <phoneticPr fontId="1" type="noConversion"/>
  </si>
  <si>
    <t>calibrated price</t>
    <phoneticPr fontId="1" type="noConversion"/>
  </si>
  <si>
    <t>imvol price</t>
    <phoneticPr fontId="1" type="noConversion"/>
  </si>
  <si>
    <t>diff</t>
    <phoneticPr fontId="1" type="noConversion"/>
  </si>
  <si>
    <t>ssq</t>
    <phoneticPr fontId="1" type="noConversion"/>
  </si>
  <si>
    <t>sq</t>
    <phoneticPr fontId="1" type="noConversion"/>
  </si>
  <si>
    <t>Tenor</t>
  </si>
  <si>
    <t>Cusip</t>
  </si>
  <si>
    <t>I173 Mid YTM KRW Korea Sovereign Curve 04/30/24 Description</t>
  </si>
  <si>
    <t>I173 Mid YTM KRW Korea Sovereign Curve 04/30/24 Price</t>
  </si>
  <si>
    <t>I173 Mid YTM KRW Korea Sovereign Curve 04/30/24 Yield</t>
  </si>
  <si>
    <t>S57 Mid YTM Onshore KRW/KRW IRS Curve 04/30/24 Description</t>
  </si>
  <si>
    <t>S57 Mid YTM Onshore KRW/KRW IRS Curve 04/30/24 Yield</t>
  </si>
  <si>
    <t>S57 Mid YTM - I173 Mid YTM  (Spread) 04/30/24 Yield</t>
  </si>
  <si>
    <t>3M</t>
  </si>
  <si>
    <t>BW203361@LCPR Corp</t>
  </si>
  <si>
    <t>KTB 2  7/8  06/10/24 Corp</t>
  </si>
  <si>
    <t>KWCDC CMPN Curncy</t>
  </si>
  <si>
    <t>6M</t>
  </si>
  <si>
    <t>BY025586@BGN  Corp</t>
  </si>
  <si>
    <t>KTB 3  1/8  09/10/24 Corp</t>
  </si>
  <si>
    <t>KWSWOF BGN Curncy</t>
  </si>
  <si>
    <t>9M</t>
  </si>
  <si>
    <t>KWSWOI BGN Curncy</t>
  </si>
  <si>
    <t>1Y</t>
  </si>
  <si>
    <t>ZM819354@LCPR Corp</t>
  </si>
  <si>
    <t>KTB 3  3/8  03/10/25 Corp</t>
  </si>
  <si>
    <t>KWSWO1 BGN Curncy</t>
  </si>
  <si>
    <t>2Y</t>
  </si>
  <si>
    <t>ZF585437@BGN  Corp</t>
  </si>
  <si>
    <t>KTB 3  1/4  03/10/26 Corp</t>
  </si>
  <si>
    <t>KWSWO2 BGN Curncy</t>
  </si>
  <si>
    <t>3Y</t>
  </si>
  <si>
    <t>ZH044161@BGN  Corp</t>
  </si>
  <si>
    <t>KTB 3  7/8  12/10/26 Corp</t>
  </si>
  <si>
    <t>KWSWO3 BGN Curncy</t>
  </si>
  <si>
    <t>4Y</t>
  </si>
  <si>
    <t>KWSWO4 BGN Curncy</t>
  </si>
  <si>
    <t>5Y</t>
  </si>
  <si>
    <t>ZF024215@BGN  Corp</t>
  </si>
  <si>
    <t>KTB 3  1/4  03/10/29 Corp</t>
  </si>
  <si>
    <t>KWSWO5 BGN Curncy</t>
  </si>
  <si>
    <t>7Y</t>
  </si>
  <si>
    <t>KWSWO7 BGN Curncy</t>
  </si>
  <si>
    <t>10Y</t>
  </si>
  <si>
    <t>ZH044400@BGN  Corp</t>
  </si>
  <si>
    <t>KTB 4  1/8  12/10/33 Corp</t>
  </si>
  <si>
    <t>KWSWO10 BGN Curncy</t>
  </si>
  <si>
    <t>12Y</t>
  </si>
  <si>
    <t>KWSWO12 BGN Curncy</t>
  </si>
  <si>
    <t>15Y</t>
  </si>
  <si>
    <t>KWSWO15 BGN Curncy</t>
  </si>
  <si>
    <t>20Y</t>
  </si>
  <si>
    <t>ZJ936462@BGN  Corp</t>
  </si>
  <si>
    <t>KTB 3  7/8  09/10/43 Corp</t>
  </si>
  <si>
    <t>KWSWO20 BGN Curncy</t>
  </si>
  <si>
    <t>30Y</t>
  </si>
  <si>
    <t>ZF585433@BGN  Corp</t>
  </si>
  <si>
    <t>KTB 3  1/4  03/10/54 Corp</t>
  </si>
  <si>
    <t>50Y</t>
  </si>
  <si>
    <t>BY660142@BGN  Corp</t>
  </si>
  <si>
    <t>KTB 3  1/2  09/10/2072 Corp</t>
  </si>
  <si>
    <t>DCF</t>
    <phoneticPr fontId="1" type="noConversion"/>
  </si>
  <si>
    <t>spot</t>
    <phoneticPr fontId="1" type="noConversion"/>
  </si>
  <si>
    <t>Div</t>
    <phoneticPr fontId="1" type="noConversion"/>
  </si>
  <si>
    <t>fwd</t>
    <phoneticPr fontId="1" type="noConversion"/>
  </si>
  <si>
    <t>std</t>
    <phoneticPr fontId="1" type="noConversion"/>
  </si>
  <si>
    <t>average</t>
    <phoneticPr fontId="1" type="noConversion"/>
  </si>
  <si>
    <t>sigma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</si>
</sst>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&quot;$&quot;#,##0\ ;\(&quot;$&quot;#,##0\)"/>
    <numFmt numFmtId="177" formatCode="#,##0.0;#,##0.0"/>
    <numFmt numFmtId="178" formatCode="\+#,##0.00;\-#,##0.00"/>
    <numFmt numFmtId="179" formatCode="0.00_)"/>
    <numFmt numFmtId="180" formatCode="0_);[Red]\(0\)"/>
    <numFmt numFmtId="181" formatCode="0.00000_);[Red]\(0.00000\)"/>
    <numFmt numFmtId="182" formatCode="0.0000_);[Red]\(0.0000\)"/>
    <numFmt numFmtId="183" formatCode="0.000000_);[Red]\(0.000000\)"/>
    <numFmt numFmtId="184" formatCode="0.0000000_);[Red]\(0.0000000\)"/>
    <numFmt numFmtId="185" formatCode="0.00000000_);[Red]\(0.00000000\)"/>
    <numFmt numFmtId="186" formatCode="0.000_);[Red]\(0.000\)"/>
    <numFmt numFmtId="187" formatCode="#,##0.00#"/>
    <numFmt numFmtId="188" formatCode="#,##0.00000000000000_ "/>
    <numFmt numFmtId="189" formatCode="0.000%"/>
    <numFmt numFmtId="190" formatCode="0.0000%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0"/>
      <color indexed="10"/>
      <name val="MS Sans Serif"/>
      <family val="2"/>
    </font>
    <font>
      <b/>
      <sz val="18"/>
      <name val="Arial"/>
      <family val="2"/>
    </font>
    <font>
      <b/>
      <sz val="12"/>
      <name val="Arial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b/>
      <sz val="9"/>
      <color indexed="9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8"/>
      <name val="맑은 고딕"/>
      <family val="2"/>
      <scheme val="minor"/>
    </font>
    <font>
      <b/>
      <sz val="10"/>
      <color indexed="9"/>
      <name val="Arial"/>
      <family val="2"/>
    </font>
    <font>
      <b/>
      <sz val="10"/>
      <color theme="1"/>
      <name val="Arial"/>
      <family val="2"/>
    </font>
    <font>
      <sz val="11"/>
      <color rgb="FFFF0000"/>
      <name val="맑은 고딕"/>
      <family val="2"/>
      <charset val="129"/>
      <scheme val="minor"/>
    </font>
    <font>
      <b/>
      <sz val="11"/>
      <color indexed="9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8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5">
    <xf numFmtId="0" fontId="0" fillId="0" borderId="0">
      <alignment vertical="center"/>
    </xf>
    <xf numFmtId="0" fontId="2" fillId="0" borderId="0"/>
    <xf numFmtId="0" fontId="3" fillId="2" borderId="0" applyAlignment="0"/>
    <xf numFmtId="3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>
      <alignment horizontal="right" vertical="center"/>
    </xf>
    <xf numFmtId="19" fontId="6" fillId="3" borderId="1" applyNumberFormat="0" applyBorder="0">
      <alignment horizontal="left" vertical="center"/>
    </xf>
    <xf numFmtId="2" fontId="7" fillId="4" borderId="0">
      <alignment horizontal="center" vertical="center"/>
    </xf>
    <xf numFmtId="2" fontId="7" fillId="4" borderId="2" applyBorder="0">
      <alignment horizontal="left" vertical="center"/>
    </xf>
    <xf numFmtId="0" fontId="6" fillId="3" borderId="0">
      <alignment horizontal="right" vertical="center"/>
    </xf>
    <xf numFmtId="0" fontId="2" fillId="5" borderId="0">
      <alignment horizontal="right" vertical="center"/>
    </xf>
    <xf numFmtId="2" fontId="2" fillId="5" borderId="1" applyNumberFormat="0" applyBorder="0">
      <alignment horizontal="right" vertical="center"/>
    </xf>
    <xf numFmtId="2" fontId="8" fillId="6" borderId="0">
      <alignment horizontal="right" vertical="center"/>
    </xf>
    <xf numFmtId="2" fontId="8" fillId="6" borderId="2" applyBorder="0">
      <alignment horizontal="left" vertical="center"/>
    </xf>
    <xf numFmtId="15" fontId="9" fillId="7" borderId="3" applyNumberFormat="0" applyBorder="0">
      <alignment horizontal="right" vertical="center"/>
    </xf>
    <xf numFmtId="2" fontId="10" fillId="8" borderId="2" applyNumberFormat="0">
      <alignment horizontal="center" vertical="center"/>
    </xf>
    <xf numFmtId="2" fontId="2" fillId="9" borderId="4" applyNumberFormat="0" applyBorder="0">
      <alignment horizontal="right" vertical="center"/>
    </xf>
    <xf numFmtId="0" fontId="2" fillId="0" borderId="0" applyNumberFormat="0" applyFont="0" applyFill="0" applyBorder="0" applyAlignment="0"/>
    <xf numFmtId="179" fontId="11" fillId="0" borderId="0"/>
    <xf numFmtId="0" fontId="2" fillId="0" borderId="0"/>
    <xf numFmtId="0" fontId="12" fillId="10" borderId="5" applyNumberFormat="0" applyBorder="0">
      <alignment horizontal="left" vertical="center"/>
    </xf>
    <xf numFmtId="2" fontId="12" fillId="10" borderId="2" applyNumberFormat="0" applyBorder="0">
      <alignment horizontal="left" vertical="center"/>
    </xf>
    <xf numFmtId="2" fontId="8" fillId="6" borderId="6" applyNumberFormat="0" applyBorder="0">
      <alignment horizontal="left" vertical="center"/>
    </xf>
    <xf numFmtId="2" fontId="8" fillId="6" borderId="2" applyNumberFormat="0" applyBorder="0">
      <alignment horizontal="left" vertical="center"/>
    </xf>
    <xf numFmtId="0" fontId="2" fillId="11" borderId="0">
      <alignment horizontal="right" vertical="center"/>
    </xf>
    <xf numFmtId="19" fontId="2" fillId="11" borderId="4" applyNumberFormat="0" applyBorder="0">
      <alignment horizontal="right" vertical="center"/>
    </xf>
    <xf numFmtId="2" fontId="13" fillId="12" borderId="0">
      <alignment horizontal="center" vertical="center"/>
    </xf>
    <xf numFmtId="2" fontId="13" fillId="12" borderId="7">
      <alignment horizontal="left" vertical="center"/>
    </xf>
    <xf numFmtId="0" fontId="14" fillId="13" borderId="8">
      <alignment horizontal="center"/>
    </xf>
    <xf numFmtId="177" fontId="15" fillId="14" borderId="0">
      <alignment horizontal="center" vertical="center"/>
    </xf>
    <xf numFmtId="178" fontId="16" fillId="15" borderId="0">
      <alignment horizontal="center" vertical="center"/>
      <protection locked="0"/>
    </xf>
    <xf numFmtId="2" fontId="17" fillId="16" borderId="5" applyNumberFormat="0" applyFill="0" applyBorder="0" applyAlignment="0">
      <alignment horizontal="center"/>
      <protection locked="0"/>
    </xf>
    <xf numFmtId="2" fontId="2" fillId="17" borderId="2" applyBorder="0">
      <alignment horizontal="right" vertical="center"/>
    </xf>
    <xf numFmtId="2" fontId="2" fillId="17" borderId="0">
      <alignment horizontal="right" vertical="center"/>
    </xf>
    <xf numFmtId="2" fontId="8" fillId="18" borderId="8">
      <alignment horizontal="center" vertical="center"/>
    </xf>
    <xf numFmtId="2" fontId="8" fillId="18" borderId="0" applyNumberFormat="0" applyBorder="0">
      <alignment horizontal="left" vertical="center"/>
    </xf>
    <xf numFmtId="2" fontId="8" fillId="18" borderId="8">
      <alignment horizontal="center" vertical="center"/>
    </xf>
    <xf numFmtId="0" fontId="2" fillId="0" borderId="9" applyNumberFormat="0" applyFont="0" applyFill="0" applyAlignment="0" applyProtection="0"/>
    <xf numFmtId="9" fontId="2" fillId="0" borderId="0" applyFont="0" applyFill="0" applyBorder="0" applyAlignment="0" applyProtection="0"/>
    <xf numFmtId="0" fontId="20" fillId="0" borderId="0"/>
    <xf numFmtId="0" fontId="24" fillId="24" borderId="0"/>
  </cellStyleXfs>
  <cellXfs count="4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19" fillId="19" borderId="14" xfId="23" applyFont="1" applyFill="1" applyBorder="1" applyAlignment="1">
      <alignment horizontal="right"/>
    </xf>
    <xf numFmtId="0" fontId="19" fillId="19" borderId="15" xfId="23" applyFont="1" applyFill="1" applyBorder="1" applyAlignment="1">
      <alignment horizontal="right"/>
    </xf>
    <xf numFmtId="181" fontId="0" fillId="0" borderId="0" xfId="0" applyNumberFormat="1">
      <alignment vertical="center"/>
    </xf>
    <xf numFmtId="0" fontId="19" fillId="19" borderId="0" xfId="23" applyFont="1" applyFill="1" applyAlignment="1">
      <alignment horizontal="right"/>
    </xf>
    <xf numFmtId="14" fontId="2" fillId="0" borderId="0" xfId="1" applyNumberFormat="1"/>
    <xf numFmtId="0" fontId="19" fillId="20" borderId="13" xfId="23" applyFont="1" applyFill="1" applyBorder="1" applyAlignment="1">
      <alignment horizontal="right"/>
    </xf>
    <xf numFmtId="0" fontId="18" fillId="13" borderId="13" xfId="23" applyFont="1" applyFill="1" applyBorder="1" applyAlignment="1">
      <alignment horizontal="right"/>
    </xf>
    <xf numFmtId="14" fontId="19" fillId="19" borderId="10" xfId="23" applyNumberFormat="1" applyFont="1" applyFill="1" applyBorder="1" applyAlignment="1">
      <alignment horizontal="right"/>
    </xf>
    <xf numFmtId="14" fontId="19" fillId="19" borderId="12" xfId="23" applyNumberFormat="1" applyFont="1" applyFill="1" applyBorder="1" applyAlignment="1">
      <alignment horizontal="right"/>
    </xf>
    <xf numFmtId="14" fontId="19" fillId="19" borderId="11" xfId="23" applyNumberFormat="1" applyFont="1" applyFill="1" applyBorder="1" applyAlignment="1">
      <alignment horizontal="right"/>
    </xf>
    <xf numFmtId="180" fontId="0" fillId="0" borderId="0" xfId="0" applyNumberFormat="1">
      <alignment vertical="center"/>
    </xf>
    <xf numFmtId="183" fontId="0" fillId="0" borderId="0" xfId="0" applyNumberFormat="1">
      <alignment vertical="center"/>
    </xf>
    <xf numFmtId="9" fontId="0" fillId="0" borderId="0" xfId="0" applyNumberFormat="1">
      <alignment vertical="center"/>
    </xf>
    <xf numFmtId="186" fontId="0" fillId="0" borderId="0" xfId="0" applyNumberFormat="1">
      <alignment vertical="center"/>
    </xf>
    <xf numFmtId="0" fontId="21" fillId="21" borderId="13" xfId="43" applyFont="1" applyFill="1" applyBorder="1" applyAlignment="1">
      <alignment horizontal="center" vertical="center"/>
    </xf>
    <xf numFmtId="0" fontId="22" fillId="22" borderId="12" xfId="43" applyFont="1" applyFill="1" applyBorder="1" applyAlignment="1">
      <alignment horizontal="center" vertical="center"/>
    </xf>
    <xf numFmtId="0" fontId="0" fillId="0" borderId="0" xfId="0" applyAlignment="1"/>
    <xf numFmtId="14" fontId="2" fillId="0" borderId="0" xfId="0" applyNumberFormat="1" applyFont="1" applyAlignment="1"/>
    <xf numFmtId="188" fontId="0" fillId="0" borderId="0" xfId="0" applyNumberFormat="1">
      <alignment vertical="center"/>
    </xf>
    <xf numFmtId="0" fontId="0" fillId="22" borderId="0" xfId="0" applyFill="1" applyAlignment="1"/>
    <xf numFmtId="14" fontId="2" fillId="22" borderId="0" xfId="0" applyNumberFormat="1" applyFont="1" applyFill="1" applyAlignment="1"/>
    <xf numFmtId="0" fontId="19" fillId="0" borderId="13" xfId="0" applyFont="1" applyBorder="1" applyAlignment="1">
      <alignment horizontal="left" vertical="center"/>
    </xf>
    <xf numFmtId="187" fontId="19" fillId="0" borderId="13" xfId="0" applyNumberFormat="1" applyFont="1" applyBorder="1" applyAlignment="1">
      <alignment horizontal="right" vertical="center"/>
    </xf>
    <xf numFmtId="3" fontId="19" fillId="0" borderId="13" xfId="0" applyNumberFormat="1" applyFont="1" applyBorder="1" applyAlignment="1">
      <alignment horizontal="right" vertical="center"/>
    </xf>
    <xf numFmtId="0" fontId="23" fillId="0" borderId="0" xfId="0" applyFont="1">
      <alignment vertical="center"/>
    </xf>
    <xf numFmtId="0" fontId="0" fillId="23" borderId="0" xfId="0" applyFill="1">
      <alignment vertical="center"/>
    </xf>
    <xf numFmtId="0" fontId="23" fillId="23" borderId="0" xfId="0" applyFont="1" applyFill="1">
      <alignment vertical="center"/>
    </xf>
    <xf numFmtId="182" fontId="0" fillId="0" borderId="0" xfId="0" applyNumberFormat="1">
      <alignment vertical="center"/>
    </xf>
    <xf numFmtId="185" fontId="0" fillId="0" borderId="0" xfId="0" applyNumberFormat="1">
      <alignment vertical="center"/>
    </xf>
    <xf numFmtId="184" fontId="0" fillId="0" borderId="0" xfId="0" applyNumberFormat="1">
      <alignment vertical="center"/>
    </xf>
    <xf numFmtId="189" fontId="0" fillId="0" borderId="0" xfId="0" applyNumberFormat="1">
      <alignment vertical="center"/>
    </xf>
    <xf numFmtId="0" fontId="24" fillId="24" borderId="0" xfId="44"/>
    <xf numFmtId="180" fontId="0" fillId="23" borderId="0" xfId="0" applyNumberFormat="1" applyFill="1">
      <alignment vertical="center"/>
    </xf>
    <xf numFmtId="0" fontId="0" fillId="23" borderId="0" xfId="0" applyFill="1" applyAlignment="1"/>
    <xf numFmtId="0" fontId="0" fillId="0" borderId="3" xfId="0" applyBorder="1" applyAlignment="1"/>
    <xf numFmtId="0" fontId="0" fillId="0" borderId="5" xfId="0" applyBorder="1" applyAlignment="1"/>
    <xf numFmtId="0" fontId="0" fillId="0" borderId="16" xfId="0" applyBorder="1" applyAlignment="1"/>
    <xf numFmtId="0" fontId="0" fillId="23" borderId="4" xfId="0" applyFill="1" applyBorder="1">
      <alignment vertical="center"/>
    </xf>
    <xf numFmtId="0" fontId="0" fillId="23" borderId="17" xfId="0" applyFill="1" applyBorder="1">
      <alignment vertical="center"/>
    </xf>
    <xf numFmtId="184" fontId="0" fillId="23" borderId="1" xfId="0" applyNumberFormat="1" applyFill="1" applyBorder="1">
      <alignment vertical="center"/>
    </xf>
    <xf numFmtId="189" fontId="22" fillId="22" borderId="12" xfId="43" applyNumberFormat="1" applyFont="1" applyFill="1" applyBorder="1" applyAlignment="1">
      <alignment horizontal="center" vertical="center"/>
    </xf>
    <xf numFmtId="189" fontId="0" fillId="0" borderId="0" xfId="0" applyNumberFormat="1" applyAlignment="1"/>
    <xf numFmtId="190" fontId="0" fillId="23" borderId="0" xfId="0" applyNumberFormat="1" applyFill="1">
      <alignment vertical="center"/>
    </xf>
    <xf numFmtId="0" fontId="0" fillId="0" borderId="0" xfId="0" applyAlignment="1">
      <alignment horizontal="right"/>
    </xf>
  </cellXfs>
  <cellStyles count="45">
    <cellStyle name="back" xfId="2" xr:uid="{B86748EA-34C2-4083-B145-3547E472976A}"/>
    <cellStyle name="blp_column_header" xfId="44" xr:uid="{FF8BDB7F-7D26-496C-9D25-0BB049FC2E5E}"/>
    <cellStyle name="Comma0" xfId="3" xr:uid="{B5A554AA-B644-4AB4-843B-124B69E0FB5C}"/>
    <cellStyle name="Currency0" xfId="4" xr:uid="{2C0C735B-BB7D-4A74-80B1-63B5B5EAA63C}"/>
    <cellStyle name="Date" xfId="5" xr:uid="{015C93F9-3DF9-4FC9-88CA-CBAAD3364563}"/>
    <cellStyle name="Fixed" xfId="6" xr:uid="{E38EA5BF-2774-429F-A26D-02F34EF24157}"/>
    <cellStyle name="InfoDataColumn" xfId="9" xr:uid="{568905AE-301E-4D54-88AC-06F8AE39113F}"/>
    <cellStyle name="InfoDataRow" xfId="10" xr:uid="{118990BB-352A-4892-BB61-E166BC388188}"/>
    <cellStyle name="InfoLabelColumn" xfId="11" xr:uid="{1CF7F839-99E1-41AD-A394-816622EBE43C}"/>
    <cellStyle name="InfoLabelRow" xfId="12" xr:uid="{D4468848-74F8-4C84-8EC5-176A9FBF5C1B}"/>
    <cellStyle name="InfolDataColumn" xfId="13" xr:uid="{F96EF9A9-5FAF-4660-A327-08464A2DA155}"/>
    <cellStyle name="InputDataColumn" xfId="14" xr:uid="{1BA3A98A-B5D6-4A6D-B01B-B2861140F6BF}"/>
    <cellStyle name="InputDataRow" xfId="15" xr:uid="{2EC5F238-98A7-4DF2-B8EB-6C63AA9DBF98}"/>
    <cellStyle name="InputLabelColumn" xfId="16" xr:uid="{D96C0FB0-AB9C-43A8-8E50-5EF57A80F95E}"/>
    <cellStyle name="InputLabelRow" xfId="17" xr:uid="{EB789161-6F4D-4A0B-819F-FA6DDA3930FB}"/>
    <cellStyle name="IntermediateDataColumn" xfId="18" xr:uid="{551173D2-3A79-49DA-A2C1-68B6AABF62F2}"/>
    <cellStyle name="IntermediateLabelColumn" xfId="19" xr:uid="{3BA18FA9-85D3-450C-8E9F-C48F6C345359}"/>
    <cellStyle name="InvalidCell" xfId="20" xr:uid="{099FBAD5-6D04-4060-BC4D-3A993344E0A8}"/>
    <cellStyle name="NewSheet" xfId="21" xr:uid="{1FAA09FA-5D90-410F-9087-B02A50B08593}"/>
    <cellStyle name="Normal - Style1" xfId="22" xr:uid="{37CE581D-06AC-4124-919F-FDDAE920D77A}"/>
    <cellStyle name="Normal 2" xfId="43" xr:uid="{9C9759E2-1540-4EEF-9DA9-6EF49FEECD04}"/>
    <cellStyle name="Normal_Template_CMS" xfId="23" xr:uid="{A01F1E8D-DCC8-4B14-BE6D-7BA29940EFED}"/>
    <cellStyle name="ObjectDataColumn" xfId="24" xr:uid="{0EB95225-116E-4DB7-BFA6-3E776583C67E}"/>
    <cellStyle name="ObjectDataRow" xfId="25" xr:uid="{F6C31928-59E9-4C06-894B-2ED7736CB6B3}"/>
    <cellStyle name="ObjectLabelColumn" xfId="26" xr:uid="{8ED92518-FD1D-48BA-8DCC-3D391AE06CF2}"/>
    <cellStyle name="ObjectLabelRow" xfId="27" xr:uid="{6221F398-8A53-4BFE-B693-BCD6D56E463C}"/>
    <cellStyle name="OutputDataColumn" xfId="28" xr:uid="{60105B17-C29A-46C0-A6BD-BB1BE3303C35}"/>
    <cellStyle name="OutputDataRow" xfId="29" xr:uid="{D650F134-FF96-4AFA-B467-BFDD221DC86E}"/>
    <cellStyle name="OutputLabelColumn" xfId="30" xr:uid="{2CFA6465-7CE7-4ABC-9979-97F71348C798}"/>
    <cellStyle name="OutputLabelRow" xfId="31" xr:uid="{B356CD2F-B857-4914-BF6D-2617BB58A05D}"/>
    <cellStyle name="PanelLabel" xfId="32" xr:uid="{63017579-D76E-4DE1-9409-D7649570F99D}"/>
    <cellStyle name="result" xfId="33" xr:uid="{B2D5401A-AAF2-4D91-A7D2-63CB041D6BA6}"/>
    <cellStyle name="spreads" xfId="34" xr:uid="{44FF9414-6465-4256-B14B-9D3BB2AD3744}"/>
    <cellStyle name="swaptn" xfId="35" xr:uid="{9C5C2EE7-029D-4FC2-8804-42B02C99F80B}"/>
    <cellStyle name="TableDataColumn" xfId="36" xr:uid="{2F4861A6-E706-4D30-8612-54C382DA1EC1}"/>
    <cellStyle name="TableDataRow" xfId="37" xr:uid="{FF38B03C-3CC3-4BEE-AB71-FE5FD3F82B54}"/>
    <cellStyle name="TableLabelColumn" xfId="38" xr:uid="{2EFC30A3-0EF7-4584-9DB2-F3AE772BB295}"/>
    <cellStyle name="TableLabelRow" xfId="39" xr:uid="{4DC188D0-9C23-4917-AEBB-3386C5C4C841}"/>
    <cellStyle name="TableLabelTop" xfId="40" xr:uid="{CCA5F918-5267-420C-83B4-23C9192B031E}"/>
    <cellStyle name="백분율 2" xfId="42" xr:uid="{BFB381D0-9D32-4169-9761-4EC44C987FAB}"/>
    <cellStyle name="요약 2" xfId="41" xr:uid="{955D5D89-6854-4DEA-BDBC-092A96DBBF50}"/>
    <cellStyle name="제목 1 2" xfId="7" xr:uid="{4C08602B-216A-419E-9D64-DC5BE0FB915A}"/>
    <cellStyle name="제목 2 2" xfId="8" xr:uid="{32348FC2-AEBF-4ACE-93E9-34E80A862887}"/>
    <cellStyle name="표준" xfId="0" builtinId="0"/>
    <cellStyle name="표준 2" xfId="1" xr:uid="{CE58DCED-9DE2-49F7-B728-FDFB75E6EB6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mc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simulation_path!$I$3:$I$23</c:f>
              <c:numCache>
                <c:formatCode>m/d/yyyy</c:formatCode>
                <c:ptCount val="21"/>
                <c:pt idx="0">
                  <c:v>45420</c:v>
                </c:pt>
                <c:pt idx="1">
                  <c:v>45421</c:v>
                </c:pt>
                <c:pt idx="2">
                  <c:v>45422</c:v>
                </c:pt>
                <c:pt idx="3">
                  <c:v>45425</c:v>
                </c:pt>
                <c:pt idx="4">
                  <c:v>45426</c:v>
                </c:pt>
                <c:pt idx="5">
                  <c:v>45428</c:v>
                </c:pt>
                <c:pt idx="6">
                  <c:v>45429</c:v>
                </c:pt>
                <c:pt idx="7">
                  <c:v>45432</c:v>
                </c:pt>
                <c:pt idx="8">
                  <c:v>45433</c:v>
                </c:pt>
                <c:pt idx="9">
                  <c:v>45434</c:v>
                </c:pt>
                <c:pt idx="10">
                  <c:v>45435</c:v>
                </c:pt>
                <c:pt idx="11">
                  <c:v>45436</c:v>
                </c:pt>
                <c:pt idx="12">
                  <c:v>45439</c:v>
                </c:pt>
                <c:pt idx="13">
                  <c:v>45440</c:v>
                </c:pt>
                <c:pt idx="14">
                  <c:v>45441</c:v>
                </c:pt>
                <c:pt idx="15">
                  <c:v>45442</c:v>
                </c:pt>
                <c:pt idx="16">
                  <c:v>45443</c:v>
                </c:pt>
                <c:pt idx="17">
                  <c:v>45446</c:v>
                </c:pt>
                <c:pt idx="18">
                  <c:v>45447</c:v>
                </c:pt>
                <c:pt idx="19">
                  <c:v>45448</c:v>
                </c:pt>
                <c:pt idx="20">
                  <c:v>45450</c:v>
                </c:pt>
              </c:numCache>
            </c:numRef>
          </c:cat>
          <c:val>
            <c:numRef>
              <c:f>simulation_path!$G$3:$G$23</c:f>
              <c:numCache>
                <c:formatCode>General</c:formatCode>
                <c:ptCount val="21"/>
                <c:pt idx="0">
                  <c:v>365.2992236380162</c:v>
                </c:pt>
                <c:pt idx="1">
                  <c:v>365.33344492872061</c:v>
                </c:pt>
                <c:pt idx="2">
                  <c:v>365.1803901495179</c:v>
                </c:pt>
                <c:pt idx="3">
                  <c:v>364.91630734812867</c:v>
                </c:pt>
                <c:pt idx="4">
                  <c:v>364.9856957283522</c:v>
                </c:pt>
                <c:pt idx="5">
                  <c:v>365.18839337976783</c:v>
                </c:pt>
                <c:pt idx="6">
                  <c:v>365.08325109704094</c:v>
                </c:pt>
                <c:pt idx="7">
                  <c:v>364.80622388047613</c:v>
                </c:pt>
                <c:pt idx="8">
                  <c:v>364.84935053686206</c:v>
                </c:pt>
                <c:pt idx="9">
                  <c:v>365.10435989946609</c:v>
                </c:pt>
                <c:pt idx="10">
                  <c:v>364.3348294439711</c:v>
                </c:pt>
                <c:pt idx="11">
                  <c:v>364.07647164124739</c:v>
                </c:pt>
                <c:pt idx="12">
                  <c:v>364.42051921513479</c:v>
                </c:pt>
                <c:pt idx="13">
                  <c:v>364.51896299139844</c:v>
                </c:pt>
                <c:pt idx="14">
                  <c:v>364.80179746055529</c:v>
                </c:pt>
                <c:pt idx="15">
                  <c:v>364.44702602724442</c:v>
                </c:pt>
                <c:pt idx="16">
                  <c:v>363.86448721202368</c:v>
                </c:pt>
                <c:pt idx="17">
                  <c:v>363.83782635904055</c:v>
                </c:pt>
                <c:pt idx="18">
                  <c:v>363.83482383613676</c:v>
                </c:pt>
                <c:pt idx="19">
                  <c:v>364.05676809618933</c:v>
                </c:pt>
                <c:pt idx="20">
                  <c:v>363.68716665645616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2D-492F-82A9-3DCF16E94523}"/>
            </c:ext>
          </c:extLst>
        </c:ser>
        <c:ser>
          <c:idx val="1"/>
          <c:order val="1"/>
          <c:tx>
            <c:v>analytic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simulation_path!$I$3:$I$23</c:f>
              <c:numCache>
                <c:formatCode>m/d/yyyy</c:formatCode>
                <c:ptCount val="21"/>
                <c:pt idx="0">
                  <c:v>45420</c:v>
                </c:pt>
                <c:pt idx="1">
                  <c:v>45421</c:v>
                </c:pt>
                <c:pt idx="2">
                  <c:v>45422</c:v>
                </c:pt>
                <c:pt idx="3">
                  <c:v>45425</c:v>
                </c:pt>
                <c:pt idx="4">
                  <c:v>45426</c:v>
                </c:pt>
                <c:pt idx="5">
                  <c:v>45428</c:v>
                </c:pt>
                <c:pt idx="6">
                  <c:v>45429</c:v>
                </c:pt>
                <c:pt idx="7">
                  <c:v>45432</c:v>
                </c:pt>
                <c:pt idx="8">
                  <c:v>45433</c:v>
                </c:pt>
                <c:pt idx="9">
                  <c:v>45434</c:v>
                </c:pt>
                <c:pt idx="10">
                  <c:v>45435</c:v>
                </c:pt>
                <c:pt idx="11">
                  <c:v>45436</c:v>
                </c:pt>
                <c:pt idx="12">
                  <c:v>45439</c:v>
                </c:pt>
                <c:pt idx="13">
                  <c:v>45440</c:v>
                </c:pt>
                <c:pt idx="14">
                  <c:v>45441</c:v>
                </c:pt>
                <c:pt idx="15">
                  <c:v>45442</c:v>
                </c:pt>
                <c:pt idx="16">
                  <c:v>45443</c:v>
                </c:pt>
                <c:pt idx="17">
                  <c:v>45446</c:v>
                </c:pt>
                <c:pt idx="18">
                  <c:v>45447</c:v>
                </c:pt>
                <c:pt idx="19">
                  <c:v>45448</c:v>
                </c:pt>
                <c:pt idx="20">
                  <c:v>45450</c:v>
                </c:pt>
              </c:numCache>
            </c:numRef>
          </c:cat>
          <c:val>
            <c:numRef>
              <c:f>simulation_path!$E$3:$E$23</c:f>
              <c:numCache>
                <c:formatCode>General</c:formatCode>
                <c:ptCount val="21"/>
                <c:pt idx="0">
                  <c:v>365.03500453269641</c:v>
                </c:pt>
                <c:pt idx="1">
                  <c:v>365.0700157801042</c:v>
                </c:pt>
                <c:pt idx="2">
                  <c:v>365.10503374415566</c:v>
                </c:pt>
                <c:pt idx="3">
                  <c:v>365.21012795550558</c:v>
                </c:pt>
                <c:pt idx="4">
                  <c:v>365.24517280546894</c:v>
                </c:pt>
                <c:pt idx="5">
                  <c:v>365.31528268628063</c:v>
                </c:pt>
                <c:pt idx="6">
                  <c:v>365.350347721003</c:v>
                </c:pt>
                <c:pt idx="7">
                  <c:v>365.4555832256969</c:v>
                </c:pt>
                <c:pt idx="8">
                  <c:v>365.4906752005694</c:v>
                </c:pt>
                <c:pt idx="9">
                  <c:v>365.52577391533049</c:v>
                </c:pt>
                <c:pt idx="10">
                  <c:v>365.56087937192211</c:v>
                </c:pt>
                <c:pt idx="11">
                  <c:v>365.59599157228695</c:v>
                </c:pt>
                <c:pt idx="12">
                  <c:v>365.70136865545805</c:v>
                </c:pt>
                <c:pt idx="13">
                  <c:v>365.7365078503571</c:v>
                </c:pt>
                <c:pt idx="14">
                  <c:v>365.77165379875385</c:v>
                </c:pt>
                <c:pt idx="15">
                  <c:v>365.80680650259541</c:v>
                </c:pt>
                <c:pt idx="16">
                  <c:v>365.84196596382975</c:v>
                </c:pt>
                <c:pt idx="17">
                  <c:v>365.94748491137921</c:v>
                </c:pt>
                <c:pt idx="18">
                  <c:v>365.98267142167839</c:v>
                </c:pt>
                <c:pt idx="19">
                  <c:v>366.01786469912099</c:v>
                </c:pt>
                <c:pt idx="20">
                  <c:v>366.08827156324691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2D-492F-82A9-3DCF16E94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0289055"/>
        <c:axId val="1650276575"/>
      </c:lineChart>
      <c:dateAx>
        <c:axId val="1650289055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50276575"/>
        <c:crosses val="autoZero"/>
        <c:auto val="1"/>
        <c:lblOffset val="100"/>
        <c:baseTimeUnit val="days"/>
      </c:dateAx>
      <c:valAx>
        <c:axId val="165027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50289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895350</xdr:colOff>
      <xdr:row>4</xdr:row>
      <xdr:rowOff>171450</xdr:rowOff>
    </xdr:from>
    <xdr:to>
      <xdr:col>16</xdr:col>
      <xdr:colOff>57150</xdr:colOff>
      <xdr:row>17</xdr:row>
      <xdr:rowOff>190500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AB1346E-65AF-E258-E792-422FC7F69D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0905-7B25-472D-B3D4-BF11C3FA845A}">
  <sheetPr codeName="Sheet1"/>
  <dimension ref="A1:A864"/>
  <sheetViews>
    <sheetView workbookViewId="0">
      <selection activeCell="A3" sqref="A3:A864"/>
    </sheetView>
  </sheetViews>
  <sheetFormatPr defaultRowHeight="16.5" x14ac:dyDescent="0.3"/>
  <cols>
    <col min="1" max="1" width="22.25" bestFit="1" customWidth="1"/>
  </cols>
  <sheetData>
    <row r="1" spans="1:1" x14ac:dyDescent="0.2">
      <c r="A1" s="7" t="s">
        <v>1</v>
      </c>
    </row>
    <row r="2" spans="1:1" x14ac:dyDescent="0.2">
      <c r="A2" s="8" t="s">
        <v>2</v>
      </c>
    </row>
    <row r="3" spans="1:1" x14ac:dyDescent="0.2">
      <c r="A3" s="9">
        <v>33970</v>
      </c>
    </row>
    <row r="4" spans="1:1" x14ac:dyDescent="0.2">
      <c r="A4" s="10">
        <v>33991</v>
      </c>
    </row>
    <row r="5" spans="1:1" x14ac:dyDescent="0.2">
      <c r="A5" s="10">
        <v>34029</v>
      </c>
    </row>
    <row r="6" spans="1:1" x14ac:dyDescent="0.2">
      <c r="A6" s="10">
        <v>34038</v>
      </c>
    </row>
    <row r="7" spans="1:1" x14ac:dyDescent="0.2">
      <c r="A7" s="10">
        <v>34064</v>
      </c>
    </row>
    <row r="8" spans="1:1" x14ac:dyDescent="0.2">
      <c r="A8" s="10">
        <v>34094</v>
      </c>
    </row>
    <row r="9" spans="1:1" x14ac:dyDescent="0.2">
      <c r="A9" s="10">
        <v>34117</v>
      </c>
    </row>
    <row r="10" spans="1:1" x14ac:dyDescent="0.2">
      <c r="A10" s="10">
        <v>34241</v>
      </c>
    </row>
    <row r="11" spans="1:1" x14ac:dyDescent="0.2">
      <c r="A11" s="10">
        <v>34242</v>
      </c>
    </row>
    <row r="12" spans="1:1" x14ac:dyDescent="0.2">
      <c r="A12" s="10">
        <v>34243</v>
      </c>
    </row>
    <row r="13" spans="1:1" x14ac:dyDescent="0.2">
      <c r="A13" s="10">
        <v>34374</v>
      </c>
    </row>
    <row r="14" spans="1:1" x14ac:dyDescent="0.2">
      <c r="A14" s="10">
        <v>34375</v>
      </c>
    </row>
    <row r="15" spans="1:1" x14ac:dyDescent="0.2">
      <c r="A15" s="10">
        <v>34376</v>
      </c>
    </row>
    <row r="16" spans="1:1" x14ac:dyDescent="0.2">
      <c r="A16" s="10">
        <v>34394</v>
      </c>
    </row>
    <row r="17" spans="1:1" x14ac:dyDescent="0.2">
      <c r="A17" s="10">
        <v>34429</v>
      </c>
    </row>
    <row r="18" spans="1:1" x14ac:dyDescent="0.2">
      <c r="A18" s="10">
        <v>34459</v>
      </c>
    </row>
    <row r="19" spans="1:1" x14ac:dyDescent="0.2">
      <c r="A19" s="10">
        <v>34472</v>
      </c>
    </row>
    <row r="20" spans="1:1" x14ac:dyDescent="0.2">
      <c r="A20" s="10">
        <v>34491</v>
      </c>
    </row>
    <row r="21" spans="1:1" x14ac:dyDescent="0.2">
      <c r="A21" s="10">
        <v>34561</v>
      </c>
    </row>
    <row r="22" spans="1:1" x14ac:dyDescent="0.2">
      <c r="A22" s="10">
        <v>34596</v>
      </c>
    </row>
    <row r="23" spans="1:1" x14ac:dyDescent="0.2">
      <c r="A23" s="10">
        <v>34597</v>
      </c>
    </row>
    <row r="24" spans="1:1" x14ac:dyDescent="0.2">
      <c r="A24" s="10">
        <v>34598</v>
      </c>
    </row>
    <row r="25" spans="1:1" x14ac:dyDescent="0.2">
      <c r="A25" s="10">
        <v>34610</v>
      </c>
    </row>
    <row r="26" spans="1:1" x14ac:dyDescent="0.2">
      <c r="A26" s="10">
        <v>34701</v>
      </c>
    </row>
    <row r="27" spans="1:1" x14ac:dyDescent="0.2">
      <c r="A27" s="10">
        <v>34729</v>
      </c>
    </row>
    <row r="28" spans="1:1" x14ac:dyDescent="0.2">
      <c r="A28" s="10">
        <v>34730</v>
      </c>
    </row>
    <row r="29" spans="1:1" x14ac:dyDescent="0.2">
      <c r="A29" s="10">
        <v>34731</v>
      </c>
    </row>
    <row r="30" spans="1:1" x14ac:dyDescent="0.2">
      <c r="A30" s="10">
        <v>34759</v>
      </c>
    </row>
    <row r="31" spans="1:1" x14ac:dyDescent="0.2">
      <c r="A31" s="10">
        <v>34794</v>
      </c>
    </row>
    <row r="32" spans="1:1" x14ac:dyDescent="0.2">
      <c r="A32" s="10">
        <v>34820</v>
      </c>
    </row>
    <row r="33" spans="1:1" x14ac:dyDescent="0.2">
      <c r="A33" s="10">
        <v>34824</v>
      </c>
    </row>
    <row r="34" spans="1:1" x14ac:dyDescent="0.2">
      <c r="A34" s="10">
        <v>34856</v>
      </c>
    </row>
    <row r="35" spans="1:1" x14ac:dyDescent="0.2">
      <c r="A35" s="10">
        <v>34877</v>
      </c>
    </row>
    <row r="36" spans="1:1" x14ac:dyDescent="0.2">
      <c r="A36" s="10">
        <v>34897</v>
      </c>
    </row>
    <row r="37" spans="1:1" x14ac:dyDescent="0.2">
      <c r="A37" s="10">
        <v>34926</v>
      </c>
    </row>
    <row r="38" spans="1:1" x14ac:dyDescent="0.2">
      <c r="A38" s="10">
        <v>34950</v>
      </c>
    </row>
    <row r="39" spans="1:1" x14ac:dyDescent="0.2">
      <c r="A39" s="10">
        <v>34975</v>
      </c>
    </row>
    <row r="40" spans="1:1" x14ac:dyDescent="0.2">
      <c r="A40" s="10">
        <v>35058</v>
      </c>
    </row>
    <row r="41" spans="1:1" x14ac:dyDescent="0.2">
      <c r="A41" s="10">
        <v>35065</v>
      </c>
    </row>
    <row r="42" spans="1:1" x14ac:dyDescent="0.2">
      <c r="A42" s="10">
        <v>35066</v>
      </c>
    </row>
    <row r="43" spans="1:1" x14ac:dyDescent="0.2">
      <c r="A43" s="10">
        <v>35114</v>
      </c>
    </row>
    <row r="44" spans="1:1" x14ac:dyDescent="0.2">
      <c r="A44" s="10">
        <v>35115</v>
      </c>
    </row>
    <row r="45" spans="1:1" x14ac:dyDescent="0.2">
      <c r="A45" s="10">
        <v>35125</v>
      </c>
    </row>
    <row r="46" spans="1:1" x14ac:dyDescent="0.2">
      <c r="A46" s="10">
        <v>35160</v>
      </c>
    </row>
    <row r="47" spans="1:1" x14ac:dyDescent="0.2">
      <c r="A47" s="10">
        <v>35166</v>
      </c>
    </row>
    <row r="48" spans="1:1" x14ac:dyDescent="0.2">
      <c r="A48" s="10">
        <v>35186</v>
      </c>
    </row>
    <row r="49" spans="1:1" x14ac:dyDescent="0.2">
      <c r="A49" s="10">
        <v>35209</v>
      </c>
    </row>
    <row r="50" spans="1:1" x14ac:dyDescent="0.2">
      <c r="A50" s="10">
        <v>35222</v>
      </c>
    </row>
    <row r="51" spans="1:1" x14ac:dyDescent="0.2">
      <c r="A51" s="10">
        <v>35263</v>
      </c>
    </row>
    <row r="52" spans="1:1" x14ac:dyDescent="0.2">
      <c r="A52" s="10">
        <v>35292</v>
      </c>
    </row>
    <row r="53" spans="1:1" x14ac:dyDescent="0.2">
      <c r="A53" s="10">
        <v>35334</v>
      </c>
    </row>
    <row r="54" spans="1:1" x14ac:dyDescent="0.2">
      <c r="A54" s="10">
        <v>35335</v>
      </c>
    </row>
    <row r="55" spans="1:1" x14ac:dyDescent="0.2">
      <c r="A55" s="10">
        <v>35341</v>
      </c>
    </row>
    <row r="56" spans="1:1" x14ac:dyDescent="0.2">
      <c r="A56" s="10">
        <v>35424</v>
      </c>
    </row>
    <row r="57" spans="1:1" x14ac:dyDescent="0.2">
      <c r="A57" s="10">
        <v>35431</v>
      </c>
    </row>
    <row r="58" spans="1:1" x14ac:dyDescent="0.2">
      <c r="A58" s="10">
        <v>35432</v>
      </c>
    </row>
    <row r="59" spans="1:1" x14ac:dyDescent="0.2">
      <c r="A59" s="10">
        <v>35468</v>
      </c>
    </row>
    <row r="60" spans="1:1" x14ac:dyDescent="0.2">
      <c r="A60" s="10">
        <v>35551</v>
      </c>
    </row>
    <row r="61" spans="1:1" x14ac:dyDescent="0.2">
      <c r="A61" s="10">
        <v>35555</v>
      </c>
    </row>
    <row r="62" spans="1:1" x14ac:dyDescent="0.2">
      <c r="A62" s="10">
        <v>35564</v>
      </c>
    </row>
    <row r="63" spans="1:1" x14ac:dyDescent="0.2">
      <c r="A63" s="10">
        <v>35587</v>
      </c>
    </row>
    <row r="64" spans="1:1" x14ac:dyDescent="0.2">
      <c r="A64" s="10">
        <v>35628</v>
      </c>
    </row>
    <row r="65" spans="1:1" x14ac:dyDescent="0.2">
      <c r="A65" s="10">
        <v>35657</v>
      </c>
    </row>
    <row r="66" spans="1:1" x14ac:dyDescent="0.2">
      <c r="A66" s="10">
        <v>35688</v>
      </c>
    </row>
    <row r="67" spans="1:1" x14ac:dyDescent="0.2">
      <c r="A67" s="10">
        <v>35689</v>
      </c>
    </row>
    <row r="68" spans="1:1" x14ac:dyDescent="0.2">
      <c r="A68" s="10">
        <v>35690</v>
      </c>
    </row>
    <row r="69" spans="1:1" x14ac:dyDescent="0.2">
      <c r="A69" s="10">
        <v>35706</v>
      </c>
    </row>
    <row r="70" spans="1:1" x14ac:dyDescent="0.2">
      <c r="A70" s="10">
        <v>35782</v>
      </c>
    </row>
    <row r="71" spans="1:1" x14ac:dyDescent="0.2">
      <c r="A71" s="10">
        <v>35789</v>
      </c>
    </row>
    <row r="72" spans="1:1" x14ac:dyDescent="0.2">
      <c r="A72" s="10">
        <v>35796</v>
      </c>
    </row>
    <row r="73" spans="1:1" x14ac:dyDescent="0.2">
      <c r="A73" s="10">
        <v>35797</v>
      </c>
    </row>
    <row r="74" spans="1:1" x14ac:dyDescent="0.2">
      <c r="A74" s="10">
        <v>35822</v>
      </c>
    </row>
    <row r="75" spans="1:1" x14ac:dyDescent="0.2">
      <c r="A75" s="10">
        <v>35823</v>
      </c>
    </row>
    <row r="76" spans="1:1" x14ac:dyDescent="0.2">
      <c r="A76" s="10">
        <v>35824</v>
      </c>
    </row>
    <row r="77" spans="1:1" x14ac:dyDescent="0.2">
      <c r="A77" s="10">
        <v>35916</v>
      </c>
    </row>
    <row r="78" spans="1:1" x14ac:dyDescent="0.2">
      <c r="A78" s="10">
        <v>35920</v>
      </c>
    </row>
    <row r="79" spans="1:1" x14ac:dyDescent="0.2">
      <c r="A79" s="10">
        <v>35950</v>
      </c>
    </row>
    <row r="80" spans="1:1" x14ac:dyDescent="0.2">
      <c r="A80" s="10">
        <v>35993</v>
      </c>
    </row>
    <row r="81" spans="1:1" x14ac:dyDescent="0.2">
      <c r="A81" s="10">
        <v>36073</v>
      </c>
    </row>
    <row r="82" spans="1:1" x14ac:dyDescent="0.2">
      <c r="A82" s="10">
        <v>36074</v>
      </c>
    </row>
    <row r="83" spans="1:1" x14ac:dyDescent="0.2">
      <c r="A83" s="10">
        <v>36154</v>
      </c>
    </row>
    <row r="84" spans="1:1" x14ac:dyDescent="0.2">
      <c r="A84" s="10">
        <v>36161</v>
      </c>
    </row>
    <row r="85" spans="1:1" x14ac:dyDescent="0.2">
      <c r="A85" s="10">
        <v>36206</v>
      </c>
    </row>
    <row r="86" spans="1:1" x14ac:dyDescent="0.2">
      <c r="A86" s="10">
        <v>36207</v>
      </c>
    </row>
    <row r="87" spans="1:1" x14ac:dyDescent="0.2">
      <c r="A87" s="10">
        <v>36208</v>
      </c>
    </row>
    <row r="88" spans="1:1" x14ac:dyDescent="0.2">
      <c r="A88" s="10">
        <v>36220</v>
      </c>
    </row>
    <row r="89" spans="1:1" x14ac:dyDescent="0.2">
      <c r="A89" s="10">
        <v>36255</v>
      </c>
    </row>
    <row r="90" spans="1:1" x14ac:dyDescent="0.2">
      <c r="A90" s="10">
        <v>36285</v>
      </c>
    </row>
    <row r="91" spans="1:1" x14ac:dyDescent="0.2">
      <c r="A91" s="10">
        <v>36426</v>
      </c>
    </row>
    <row r="92" spans="1:1" x14ac:dyDescent="0.2">
      <c r="A92" s="10">
        <v>36427</v>
      </c>
    </row>
    <row r="93" spans="1:1" x14ac:dyDescent="0.2">
      <c r="A93" s="10">
        <v>36525</v>
      </c>
    </row>
    <row r="94" spans="1:1" x14ac:dyDescent="0.2">
      <c r="A94" s="10">
        <v>36528</v>
      </c>
    </row>
    <row r="95" spans="1:1" x14ac:dyDescent="0.2">
      <c r="A95" s="10">
        <v>36560</v>
      </c>
    </row>
    <row r="96" spans="1:1" x14ac:dyDescent="0.2">
      <c r="A96" s="10">
        <v>36586</v>
      </c>
    </row>
    <row r="97" spans="1:1" x14ac:dyDescent="0.2">
      <c r="A97" s="10">
        <v>36621</v>
      </c>
    </row>
    <row r="98" spans="1:1" x14ac:dyDescent="0.2">
      <c r="A98" s="10">
        <v>36629</v>
      </c>
    </row>
    <row r="99" spans="1:1" x14ac:dyDescent="0.2">
      <c r="A99" s="10">
        <v>36647</v>
      </c>
    </row>
    <row r="100" spans="1:1" x14ac:dyDescent="0.2">
      <c r="A100" s="10">
        <v>36651</v>
      </c>
    </row>
    <row r="101" spans="1:1" x14ac:dyDescent="0.2">
      <c r="A101" s="10">
        <v>36657</v>
      </c>
    </row>
    <row r="102" spans="1:1" x14ac:dyDescent="0.2">
      <c r="A102" s="10">
        <v>36683</v>
      </c>
    </row>
    <row r="103" spans="1:1" x14ac:dyDescent="0.2">
      <c r="A103" s="10">
        <v>36724</v>
      </c>
    </row>
    <row r="104" spans="1:1" x14ac:dyDescent="0.2">
      <c r="A104" s="10">
        <v>36753</v>
      </c>
    </row>
    <row r="105" spans="1:1" x14ac:dyDescent="0.2">
      <c r="A105" s="10">
        <v>36780</v>
      </c>
    </row>
    <row r="106" spans="1:1" x14ac:dyDescent="0.2">
      <c r="A106" s="10">
        <v>36781</v>
      </c>
    </row>
    <row r="107" spans="1:1" x14ac:dyDescent="0.2">
      <c r="A107" s="10">
        <v>36782</v>
      </c>
    </row>
    <row r="108" spans="1:1" x14ac:dyDescent="0.2">
      <c r="A108" s="10">
        <v>36802</v>
      </c>
    </row>
    <row r="109" spans="1:1" x14ac:dyDescent="0.2">
      <c r="A109" s="10">
        <v>36885</v>
      </c>
    </row>
    <row r="110" spans="1:1" x14ac:dyDescent="0.2">
      <c r="A110" s="10">
        <v>36892</v>
      </c>
    </row>
    <row r="111" spans="1:1" x14ac:dyDescent="0.2">
      <c r="A111" s="10">
        <v>36914</v>
      </c>
    </row>
    <row r="112" spans="1:1" x14ac:dyDescent="0.2">
      <c r="A112" s="10">
        <v>36915</v>
      </c>
    </row>
    <row r="113" spans="1:1" x14ac:dyDescent="0.2">
      <c r="A113" s="10">
        <v>36916</v>
      </c>
    </row>
    <row r="114" spans="1:1" x14ac:dyDescent="0.2">
      <c r="A114" s="10">
        <v>36951</v>
      </c>
    </row>
    <row r="115" spans="1:1" x14ac:dyDescent="0.2">
      <c r="A115" s="10">
        <v>36986</v>
      </c>
    </row>
    <row r="116" spans="1:1" x14ac:dyDescent="0.2">
      <c r="A116" s="10">
        <v>37012</v>
      </c>
    </row>
    <row r="117" spans="1:1" x14ac:dyDescent="0.2">
      <c r="A117" s="10">
        <v>37048</v>
      </c>
    </row>
    <row r="118" spans="1:1" x14ac:dyDescent="0.2">
      <c r="A118" s="10">
        <v>37089</v>
      </c>
    </row>
    <row r="119" spans="1:1" x14ac:dyDescent="0.2">
      <c r="A119" s="10">
        <v>37118</v>
      </c>
    </row>
    <row r="120" spans="1:1" x14ac:dyDescent="0.2">
      <c r="A120" s="10">
        <v>37166</v>
      </c>
    </row>
    <row r="121" spans="1:1" x14ac:dyDescent="0.2">
      <c r="A121" s="10">
        <v>37167</v>
      </c>
    </row>
    <row r="122" spans="1:1" x14ac:dyDescent="0.2">
      <c r="A122" s="10">
        <v>37250</v>
      </c>
    </row>
    <row r="123" spans="1:1" x14ac:dyDescent="0.2">
      <c r="A123" s="10">
        <v>37257</v>
      </c>
    </row>
    <row r="124" spans="1:1" x14ac:dyDescent="0.2">
      <c r="A124" s="10">
        <v>37298</v>
      </c>
    </row>
    <row r="125" spans="1:1" x14ac:dyDescent="0.2">
      <c r="A125" s="10">
        <v>37299</v>
      </c>
    </row>
    <row r="126" spans="1:1" x14ac:dyDescent="0.2">
      <c r="A126" s="10">
        <v>37300</v>
      </c>
    </row>
    <row r="127" spans="1:1" x14ac:dyDescent="0.2">
      <c r="A127" s="10">
        <v>37316</v>
      </c>
    </row>
    <row r="128" spans="1:1" x14ac:dyDescent="0.2">
      <c r="A128" s="10">
        <v>37351</v>
      </c>
    </row>
    <row r="129" spans="1:1" x14ac:dyDescent="0.2">
      <c r="A129" s="10">
        <v>37377</v>
      </c>
    </row>
    <row r="130" spans="1:1" x14ac:dyDescent="0.2">
      <c r="A130" s="10">
        <v>37413</v>
      </c>
    </row>
    <row r="131" spans="1:1" x14ac:dyDescent="0.2">
      <c r="A131" s="10">
        <v>37454</v>
      </c>
    </row>
    <row r="132" spans="1:1" x14ac:dyDescent="0.2">
      <c r="A132" s="10">
        <v>37483</v>
      </c>
    </row>
    <row r="133" spans="1:1" x14ac:dyDescent="0.2">
      <c r="A133" s="10">
        <v>37519</v>
      </c>
    </row>
    <row r="134" spans="1:1" x14ac:dyDescent="0.2">
      <c r="A134" s="10">
        <v>37532</v>
      </c>
    </row>
    <row r="135" spans="1:1" x14ac:dyDescent="0.2">
      <c r="A135" s="10">
        <v>37609</v>
      </c>
    </row>
    <row r="136" spans="1:1" x14ac:dyDescent="0.2">
      <c r="A136" s="10">
        <v>37615</v>
      </c>
    </row>
    <row r="137" spans="1:1" x14ac:dyDescent="0.2">
      <c r="A137" s="10">
        <v>37622</v>
      </c>
    </row>
    <row r="138" spans="1:1" x14ac:dyDescent="0.2">
      <c r="A138" s="10">
        <v>37652</v>
      </c>
    </row>
    <row r="139" spans="1:1" x14ac:dyDescent="0.2">
      <c r="A139" s="10">
        <v>37746</v>
      </c>
    </row>
    <row r="140" spans="1:1" x14ac:dyDescent="0.2">
      <c r="A140" s="10">
        <v>37749</v>
      </c>
    </row>
    <row r="141" spans="1:1" x14ac:dyDescent="0.2">
      <c r="A141" s="10">
        <v>37778</v>
      </c>
    </row>
    <row r="142" spans="1:1" x14ac:dyDescent="0.2">
      <c r="A142" s="10">
        <v>37819</v>
      </c>
    </row>
    <row r="143" spans="1:1" x14ac:dyDescent="0.2">
      <c r="A143" s="10">
        <v>37848</v>
      </c>
    </row>
    <row r="144" spans="1:1" x14ac:dyDescent="0.2">
      <c r="A144" s="10">
        <v>37874</v>
      </c>
    </row>
    <row r="145" spans="1:1" x14ac:dyDescent="0.2">
      <c r="A145" s="10">
        <v>37875</v>
      </c>
    </row>
    <row r="146" spans="1:1" x14ac:dyDescent="0.2">
      <c r="A146" s="10">
        <v>37876</v>
      </c>
    </row>
    <row r="147" spans="1:1" x14ac:dyDescent="0.2">
      <c r="A147" s="10">
        <v>37897</v>
      </c>
    </row>
    <row r="148" spans="1:1" x14ac:dyDescent="0.2">
      <c r="A148" s="10">
        <v>37980</v>
      </c>
    </row>
    <row r="149" spans="1:1" x14ac:dyDescent="0.2">
      <c r="A149" s="10">
        <v>37987</v>
      </c>
    </row>
    <row r="150" spans="1:1" x14ac:dyDescent="0.2">
      <c r="A150" s="10">
        <v>38007</v>
      </c>
    </row>
    <row r="151" spans="1:1" x14ac:dyDescent="0.2">
      <c r="A151" s="10">
        <v>38008</v>
      </c>
    </row>
    <row r="152" spans="1:1" x14ac:dyDescent="0.2">
      <c r="A152" s="10">
        <v>38009</v>
      </c>
    </row>
    <row r="153" spans="1:1" x14ac:dyDescent="0.2">
      <c r="A153" s="10">
        <v>38047</v>
      </c>
    </row>
    <row r="154" spans="1:1" x14ac:dyDescent="0.2">
      <c r="A154" s="10">
        <v>38082</v>
      </c>
    </row>
    <row r="155" spans="1:1" x14ac:dyDescent="0.2">
      <c r="A155" s="10">
        <v>38092</v>
      </c>
    </row>
    <row r="156" spans="1:1" x14ac:dyDescent="0.2">
      <c r="A156" s="10">
        <v>38112</v>
      </c>
    </row>
    <row r="157" spans="1:1" x14ac:dyDescent="0.2">
      <c r="A157" s="10">
        <v>38133</v>
      </c>
    </row>
    <row r="158" spans="1:1" x14ac:dyDescent="0.2">
      <c r="A158" s="10">
        <v>38257</v>
      </c>
    </row>
    <row r="159" spans="1:1" x14ac:dyDescent="0.2">
      <c r="A159" s="10">
        <v>38258</v>
      </c>
    </row>
    <row r="160" spans="1:1" x14ac:dyDescent="0.2">
      <c r="A160" s="10">
        <v>38259</v>
      </c>
    </row>
    <row r="161" spans="1:1" x14ac:dyDescent="0.2">
      <c r="A161" s="10">
        <v>38391</v>
      </c>
    </row>
    <row r="162" spans="1:1" x14ac:dyDescent="0.2">
      <c r="A162" s="10">
        <v>38392</v>
      </c>
    </row>
    <row r="163" spans="1:1" x14ac:dyDescent="0.2">
      <c r="A163" s="10">
        <v>38393</v>
      </c>
    </row>
    <row r="164" spans="1:1" x14ac:dyDescent="0.2">
      <c r="A164" s="10">
        <v>38412</v>
      </c>
    </row>
    <row r="165" spans="1:1" x14ac:dyDescent="0.2">
      <c r="A165" s="10">
        <v>38447</v>
      </c>
    </row>
    <row r="166" spans="1:1" x14ac:dyDescent="0.2">
      <c r="A166" s="10">
        <v>38477</v>
      </c>
    </row>
    <row r="167" spans="1:1" x14ac:dyDescent="0.2">
      <c r="A167" s="10">
        <v>38509</v>
      </c>
    </row>
    <row r="168" spans="1:1" x14ac:dyDescent="0.2">
      <c r="A168" s="10">
        <v>38579</v>
      </c>
    </row>
    <row r="169" spans="1:1" x14ac:dyDescent="0.2">
      <c r="A169" s="10">
        <v>38614</v>
      </c>
    </row>
    <row r="170" spans="1:1" x14ac:dyDescent="0.2">
      <c r="A170" s="10">
        <v>38628</v>
      </c>
    </row>
    <row r="171" spans="1:1" x14ac:dyDescent="0.2">
      <c r="A171" s="10">
        <v>38747</v>
      </c>
    </row>
    <row r="172" spans="1:1" x14ac:dyDescent="0.2">
      <c r="A172" s="10">
        <v>38777</v>
      </c>
    </row>
    <row r="173" spans="1:1" x14ac:dyDescent="0.2">
      <c r="A173" s="10">
        <v>38838</v>
      </c>
    </row>
    <row r="174" spans="1:1" x14ac:dyDescent="0.2">
      <c r="A174" s="10">
        <v>38842</v>
      </c>
    </row>
    <row r="175" spans="1:1" x14ac:dyDescent="0.2">
      <c r="A175" s="10">
        <v>38868</v>
      </c>
    </row>
    <row r="176" spans="1:1" x14ac:dyDescent="0.2">
      <c r="A176" s="10">
        <v>38874</v>
      </c>
    </row>
    <row r="177" spans="1:1" x14ac:dyDescent="0.2">
      <c r="A177" s="10">
        <v>38915</v>
      </c>
    </row>
    <row r="178" spans="1:1" x14ac:dyDescent="0.2">
      <c r="A178" s="10">
        <v>38944</v>
      </c>
    </row>
    <row r="179" spans="1:1" x14ac:dyDescent="0.2">
      <c r="A179" s="10">
        <v>38993</v>
      </c>
    </row>
    <row r="180" spans="1:1" x14ac:dyDescent="0.2">
      <c r="A180" s="10">
        <v>38995</v>
      </c>
    </row>
    <row r="181" spans="1:1" x14ac:dyDescent="0.2">
      <c r="A181" s="10">
        <v>38996</v>
      </c>
    </row>
    <row r="182" spans="1:1" x14ac:dyDescent="0.2">
      <c r="A182" s="10">
        <v>39076</v>
      </c>
    </row>
    <row r="183" spans="1:1" x14ac:dyDescent="0.2">
      <c r="A183" s="10">
        <v>39083</v>
      </c>
    </row>
    <row r="184" spans="1:1" x14ac:dyDescent="0.2">
      <c r="A184" s="10">
        <v>39132</v>
      </c>
    </row>
    <row r="185" spans="1:1" x14ac:dyDescent="0.2">
      <c r="A185" s="10">
        <v>39142</v>
      </c>
    </row>
    <row r="186" spans="1:1" x14ac:dyDescent="0.2">
      <c r="A186" s="10">
        <v>39203</v>
      </c>
    </row>
    <row r="187" spans="1:1" x14ac:dyDescent="0.2">
      <c r="A187" s="10">
        <v>39226</v>
      </c>
    </row>
    <row r="188" spans="1:1" x14ac:dyDescent="0.2">
      <c r="A188" s="10">
        <v>39239</v>
      </c>
    </row>
    <row r="189" spans="1:1" x14ac:dyDescent="0.2">
      <c r="A189" s="10">
        <v>39280</v>
      </c>
    </row>
    <row r="190" spans="1:1" x14ac:dyDescent="0.2">
      <c r="A190" s="10">
        <v>39309</v>
      </c>
    </row>
    <row r="191" spans="1:1" x14ac:dyDescent="0.2">
      <c r="A191" s="10">
        <v>39349</v>
      </c>
    </row>
    <row r="192" spans="1:1" x14ac:dyDescent="0.2">
      <c r="A192" s="10">
        <v>39350</v>
      </c>
    </row>
    <row r="193" spans="1:1" x14ac:dyDescent="0.2">
      <c r="A193" s="10">
        <v>39351</v>
      </c>
    </row>
    <row r="194" spans="1:1" x14ac:dyDescent="0.2">
      <c r="A194" s="10">
        <v>39358</v>
      </c>
    </row>
    <row r="195" spans="1:1" x14ac:dyDescent="0.2">
      <c r="A195" s="10">
        <v>39435</v>
      </c>
    </row>
    <row r="196" spans="1:1" x14ac:dyDescent="0.2">
      <c r="A196" s="10">
        <v>39441</v>
      </c>
    </row>
    <row r="197" spans="1:1" x14ac:dyDescent="0.2">
      <c r="A197" s="10">
        <v>39448</v>
      </c>
    </row>
    <row r="198" spans="1:1" x14ac:dyDescent="0.2">
      <c r="A198" s="10">
        <v>39484</v>
      </c>
    </row>
    <row r="199" spans="1:1" x14ac:dyDescent="0.2">
      <c r="A199" s="10">
        <v>39485</v>
      </c>
    </row>
    <row r="200" spans="1:1" x14ac:dyDescent="0.2">
      <c r="A200" s="10">
        <v>39486</v>
      </c>
    </row>
    <row r="201" spans="1:1" x14ac:dyDescent="0.2">
      <c r="A201" s="10">
        <v>39547</v>
      </c>
    </row>
    <row r="202" spans="1:1" x14ac:dyDescent="0.2">
      <c r="A202" s="10">
        <v>39569</v>
      </c>
    </row>
    <row r="203" spans="1:1" x14ac:dyDescent="0.2">
      <c r="A203" s="10">
        <v>39573</v>
      </c>
    </row>
    <row r="204" spans="1:1" x14ac:dyDescent="0.2">
      <c r="A204" s="10">
        <v>39580</v>
      </c>
    </row>
    <row r="205" spans="1:1" x14ac:dyDescent="0.2">
      <c r="A205" s="10">
        <v>39605</v>
      </c>
    </row>
    <row r="206" spans="1:1" x14ac:dyDescent="0.2">
      <c r="A206" s="10">
        <v>39675</v>
      </c>
    </row>
    <row r="207" spans="1:1" x14ac:dyDescent="0.2">
      <c r="A207" s="10">
        <v>39706</v>
      </c>
    </row>
    <row r="208" spans="1:1" x14ac:dyDescent="0.2">
      <c r="A208" s="10">
        <v>39724</v>
      </c>
    </row>
    <row r="209" spans="1:1" x14ac:dyDescent="0.2">
      <c r="A209" s="10">
        <v>39807</v>
      </c>
    </row>
    <row r="210" spans="1:1" x14ac:dyDescent="0.2">
      <c r="A210" s="10">
        <v>39814</v>
      </c>
    </row>
    <row r="211" spans="1:1" x14ac:dyDescent="0.2">
      <c r="A211" s="10">
        <v>39839</v>
      </c>
    </row>
    <row r="212" spans="1:1" x14ac:dyDescent="0.2">
      <c r="A212" s="10">
        <v>39840</v>
      </c>
    </row>
    <row r="213" spans="1:1" x14ac:dyDescent="0.2">
      <c r="A213" s="10">
        <v>39934</v>
      </c>
    </row>
    <row r="214" spans="1:1" x14ac:dyDescent="0.2">
      <c r="A214" s="10">
        <v>39938</v>
      </c>
    </row>
    <row r="215" spans="1:1" x14ac:dyDescent="0.2">
      <c r="A215" s="10">
        <v>40088</v>
      </c>
    </row>
    <row r="216" spans="1:1" x14ac:dyDescent="0.2">
      <c r="A216" s="10">
        <v>40172</v>
      </c>
    </row>
    <row r="217" spans="1:1" x14ac:dyDescent="0.2">
      <c r="A217" s="10">
        <v>40179</v>
      </c>
    </row>
    <row r="218" spans="1:1" x14ac:dyDescent="0.2">
      <c r="A218" s="10">
        <v>40224</v>
      </c>
    </row>
    <row r="219" spans="1:1" x14ac:dyDescent="0.2">
      <c r="A219" s="10">
        <v>40238</v>
      </c>
    </row>
    <row r="220" spans="1:1" x14ac:dyDescent="0.2">
      <c r="A220" s="10">
        <v>40303</v>
      </c>
    </row>
    <row r="221" spans="1:1" x14ac:dyDescent="0.2">
      <c r="A221" s="10">
        <v>40319</v>
      </c>
    </row>
    <row r="222" spans="1:1" x14ac:dyDescent="0.2">
      <c r="A222" s="10">
        <v>40331</v>
      </c>
    </row>
    <row r="223" spans="1:1" x14ac:dyDescent="0.2">
      <c r="A223" s="10">
        <v>40442</v>
      </c>
    </row>
    <row r="224" spans="1:1" x14ac:dyDescent="0.2">
      <c r="A224" s="10">
        <v>40443</v>
      </c>
    </row>
    <row r="225" spans="1:1" x14ac:dyDescent="0.2">
      <c r="A225" s="10">
        <v>40444</v>
      </c>
    </row>
    <row r="226" spans="1:1" x14ac:dyDescent="0.2">
      <c r="A226" s="10">
        <v>40576</v>
      </c>
    </row>
    <row r="227" spans="1:1" x14ac:dyDescent="0.2">
      <c r="A227" s="10">
        <v>40577</v>
      </c>
    </row>
    <row r="228" spans="1:1" x14ac:dyDescent="0.2">
      <c r="A228" s="10">
        <v>40578</v>
      </c>
    </row>
    <row r="229" spans="1:1" x14ac:dyDescent="0.2">
      <c r="A229" s="10">
        <v>40603</v>
      </c>
    </row>
    <row r="230" spans="1:1" x14ac:dyDescent="0.2">
      <c r="A230" s="10">
        <v>40668</v>
      </c>
    </row>
    <row r="231" spans="1:1" x14ac:dyDescent="0.2">
      <c r="A231" s="10">
        <v>40673</v>
      </c>
    </row>
    <row r="232" spans="1:1" x14ac:dyDescent="0.2">
      <c r="A232" s="10">
        <v>40700</v>
      </c>
    </row>
    <row r="233" spans="1:1" x14ac:dyDescent="0.2">
      <c r="A233" s="10">
        <v>40770</v>
      </c>
    </row>
    <row r="234" spans="1:1" x14ac:dyDescent="0.2">
      <c r="A234" s="10">
        <v>40798</v>
      </c>
    </row>
    <row r="235" spans="1:1" x14ac:dyDescent="0.2">
      <c r="A235" s="10">
        <v>40799</v>
      </c>
    </row>
    <row r="236" spans="1:1" x14ac:dyDescent="0.2">
      <c r="A236" s="10">
        <v>40819</v>
      </c>
    </row>
    <row r="237" spans="1:1" x14ac:dyDescent="0.2">
      <c r="A237" s="10">
        <v>40931</v>
      </c>
    </row>
    <row r="238" spans="1:1" x14ac:dyDescent="0.2">
      <c r="A238" s="10">
        <v>40932</v>
      </c>
    </row>
    <row r="239" spans="1:1" x14ac:dyDescent="0.2">
      <c r="A239" s="10">
        <v>40969</v>
      </c>
    </row>
    <row r="240" spans="1:1" x14ac:dyDescent="0.2">
      <c r="A240" s="10">
        <v>41010</v>
      </c>
    </row>
    <row r="241" spans="1:1" x14ac:dyDescent="0.2">
      <c r="A241" s="10">
        <v>41030</v>
      </c>
    </row>
    <row r="242" spans="1:1" x14ac:dyDescent="0.2">
      <c r="A242" s="10">
        <v>41057</v>
      </c>
    </row>
    <row r="243" spans="1:1" x14ac:dyDescent="0.2">
      <c r="A243" s="10">
        <v>41066</v>
      </c>
    </row>
    <row r="244" spans="1:1" x14ac:dyDescent="0.2">
      <c r="A244" s="10">
        <v>41136</v>
      </c>
    </row>
    <row r="245" spans="1:1" x14ac:dyDescent="0.2">
      <c r="A245" s="10">
        <v>41183</v>
      </c>
    </row>
    <row r="246" spans="1:1" x14ac:dyDescent="0.2">
      <c r="A246" s="10">
        <v>41185</v>
      </c>
    </row>
    <row r="247" spans="1:1" x14ac:dyDescent="0.2">
      <c r="A247" s="10">
        <v>41262</v>
      </c>
    </row>
    <row r="248" spans="1:1" x14ac:dyDescent="0.2">
      <c r="A248" s="10">
        <v>41268</v>
      </c>
    </row>
    <row r="249" spans="1:1" x14ac:dyDescent="0.2">
      <c r="A249" s="10">
        <v>41275</v>
      </c>
    </row>
    <row r="250" spans="1:1" x14ac:dyDescent="0.2">
      <c r="A250" s="10">
        <v>41316</v>
      </c>
    </row>
    <row r="251" spans="1:1" x14ac:dyDescent="0.2">
      <c r="A251" s="10">
        <v>41334</v>
      </c>
    </row>
    <row r="252" spans="1:1" x14ac:dyDescent="0.2">
      <c r="A252" s="10">
        <v>41395</v>
      </c>
    </row>
    <row r="253" spans="1:1" x14ac:dyDescent="0.2">
      <c r="A253" s="10">
        <v>41411</v>
      </c>
    </row>
    <row r="254" spans="1:1" x14ac:dyDescent="0.2">
      <c r="A254" s="10">
        <v>41431</v>
      </c>
    </row>
    <row r="255" spans="1:1" x14ac:dyDescent="0.2">
      <c r="A255" s="10">
        <v>41501</v>
      </c>
    </row>
    <row r="256" spans="1:1" x14ac:dyDescent="0.2">
      <c r="A256" s="10">
        <v>41535</v>
      </c>
    </row>
    <row r="257" spans="1:1" x14ac:dyDescent="0.2">
      <c r="A257" s="10">
        <v>41536</v>
      </c>
    </row>
    <row r="258" spans="1:1" x14ac:dyDescent="0.2">
      <c r="A258" s="10">
        <v>41537</v>
      </c>
    </row>
    <row r="259" spans="1:1" x14ac:dyDescent="0.2">
      <c r="A259" s="10">
        <v>41550</v>
      </c>
    </row>
    <row r="260" spans="1:1" x14ac:dyDescent="0.2">
      <c r="A260" s="10">
        <v>41556</v>
      </c>
    </row>
    <row r="261" spans="1:1" x14ac:dyDescent="0.2">
      <c r="A261" s="10">
        <v>41633</v>
      </c>
    </row>
    <row r="262" spans="1:1" x14ac:dyDescent="0.2">
      <c r="A262" s="10">
        <v>41640</v>
      </c>
    </row>
    <row r="263" spans="1:1" x14ac:dyDescent="0.2">
      <c r="A263" s="10">
        <v>41669</v>
      </c>
    </row>
    <row r="264" spans="1:1" x14ac:dyDescent="0.2">
      <c r="A264" s="10">
        <v>41670</v>
      </c>
    </row>
    <row r="265" spans="1:1" x14ac:dyDescent="0.2">
      <c r="A265" s="10">
        <v>41760</v>
      </c>
    </row>
    <row r="266" spans="1:1" x14ac:dyDescent="0.2">
      <c r="A266" s="10">
        <v>41764</v>
      </c>
    </row>
    <row r="267" spans="1:1" x14ac:dyDescent="0.2">
      <c r="A267" s="10">
        <v>41765</v>
      </c>
    </row>
    <row r="268" spans="1:1" x14ac:dyDescent="0.2">
      <c r="A268" s="10">
        <v>41794</v>
      </c>
    </row>
    <row r="269" spans="1:1" x14ac:dyDescent="0.2">
      <c r="A269" s="10">
        <v>41796</v>
      </c>
    </row>
    <row r="270" spans="1:1" x14ac:dyDescent="0.2">
      <c r="A270" s="10">
        <v>41866</v>
      </c>
    </row>
    <row r="271" spans="1:1" x14ac:dyDescent="0.2">
      <c r="A271" s="10">
        <v>41890</v>
      </c>
    </row>
    <row r="272" spans="1:1" x14ac:dyDescent="0.2">
      <c r="A272" s="10">
        <v>41891</v>
      </c>
    </row>
    <row r="273" spans="1:1" x14ac:dyDescent="0.2">
      <c r="A273" s="10">
        <v>41892</v>
      </c>
    </row>
    <row r="274" spans="1:1" x14ac:dyDescent="0.2">
      <c r="A274" s="10">
        <v>41915</v>
      </c>
    </row>
    <row r="275" spans="1:1" x14ac:dyDescent="0.2">
      <c r="A275" s="10">
        <v>41921</v>
      </c>
    </row>
    <row r="276" spans="1:1" x14ac:dyDescent="0.2">
      <c r="A276" s="10">
        <v>41998</v>
      </c>
    </row>
    <row r="277" spans="1:1" x14ac:dyDescent="0.2">
      <c r="A277" s="10">
        <v>42005</v>
      </c>
    </row>
    <row r="278" spans="1:1" x14ac:dyDescent="0.2">
      <c r="A278" s="10">
        <v>42053</v>
      </c>
    </row>
    <row r="279" spans="1:1" x14ac:dyDescent="0.2">
      <c r="A279" s="10">
        <v>42054</v>
      </c>
    </row>
    <row r="280" spans="1:1" x14ac:dyDescent="0.2">
      <c r="A280" s="10">
        <v>42055</v>
      </c>
    </row>
    <row r="281" spans="1:1" x14ac:dyDescent="0.2">
      <c r="A281" s="10">
        <v>42125</v>
      </c>
    </row>
    <row r="282" spans="1:1" x14ac:dyDescent="0.2">
      <c r="A282" s="10">
        <v>42129</v>
      </c>
    </row>
    <row r="283" spans="1:1" x14ac:dyDescent="0.2">
      <c r="A283" s="10">
        <v>42149</v>
      </c>
    </row>
    <row r="284" spans="1:1" x14ac:dyDescent="0.2">
      <c r="A284" s="10">
        <v>42230</v>
      </c>
    </row>
    <row r="285" spans="1:1" x14ac:dyDescent="0.2">
      <c r="A285" s="10">
        <v>42275</v>
      </c>
    </row>
    <row r="286" spans="1:1" x14ac:dyDescent="0.2">
      <c r="A286" s="10">
        <v>42276</v>
      </c>
    </row>
    <row r="287" spans="1:1" x14ac:dyDescent="0.2">
      <c r="A287" s="10">
        <v>42286</v>
      </c>
    </row>
    <row r="288" spans="1:1" x14ac:dyDescent="0.2">
      <c r="A288" s="10">
        <v>42363</v>
      </c>
    </row>
    <row r="289" spans="1:1" x14ac:dyDescent="0.2">
      <c r="A289" s="10">
        <v>42370</v>
      </c>
    </row>
    <row r="290" spans="1:1" x14ac:dyDescent="0.2">
      <c r="A290" s="10">
        <v>42408</v>
      </c>
    </row>
    <row r="291" spans="1:1" x14ac:dyDescent="0.2">
      <c r="A291" s="10">
        <v>42409</v>
      </c>
    </row>
    <row r="292" spans="1:1" x14ac:dyDescent="0.2">
      <c r="A292" s="10">
        <v>42410</v>
      </c>
    </row>
    <row r="293" spans="1:1" x14ac:dyDescent="0.2">
      <c r="A293" s="10">
        <v>42430</v>
      </c>
    </row>
    <row r="294" spans="1:1" x14ac:dyDescent="0.2">
      <c r="A294" s="10">
        <v>42473</v>
      </c>
    </row>
    <row r="295" spans="1:1" x14ac:dyDescent="0.2">
      <c r="A295" s="10">
        <v>42495</v>
      </c>
    </row>
    <row r="296" spans="1:1" x14ac:dyDescent="0.2">
      <c r="A296" s="10">
        <v>42496</v>
      </c>
    </row>
    <row r="297" spans="1:1" x14ac:dyDescent="0.2">
      <c r="A297" s="10">
        <v>42527</v>
      </c>
    </row>
    <row r="298" spans="1:1" x14ac:dyDescent="0.2">
      <c r="A298" s="10">
        <v>42597</v>
      </c>
    </row>
    <row r="299" spans="1:1" x14ac:dyDescent="0.2">
      <c r="A299" s="10">
        <v>42627</v>
      </c>
    </row>
    <row r="300" spans="1:1" x14ac:dyDescent="0.2">
      <c r="A300" s="10">
        <v>42628</v>
      </c>
    </row>
    <row r="301" spans="1:1" x14ac:dyDescent="0.2">
      <c r="A301" s="10">
        <v>42629</v>
      </c>
    </row>
    <row r="302" spans="1:1" x14ac:dyDescent="0.2">
      <c r="A302" s="10">
        <v>42646</v>
      </c>
    </row>
    <row r="303" spans="1:1" x14ac:dyDescent="0.2">
      <c r="A303" s="10">
        <v>42762</v>
      </c>
    </row>
    <row r="304" spans="1:1" x14ac:dyDescent="0.2">
      <c r="A304" s="10">
        <v>42765</v>
      </c>
    </row>
    <row r="305" spans="1:1" x14ac:dyDescent="0.2">
      <c r="A305" s="10">
        <v>42795</v>
      </c>
    </row>
    <row r="306" spans="1:1" x14ac:dyDescent="0.2">
      <c r="A306" s="10">
        <v>42856</v>
      </c>
    </row>
    <row r="307" spans="1:1" x14ac:dyDescent="0.2">
      <c r="A307" s="10">
        <v>42858</v>
      </c>
    </row>
    <row r="308" spans="1:1" x14ac:dyDescent="0.2">
      <c r="A308" s="10">
        <v>42860</v>
      </c>
    </row>
    <row r="309" spans="1:1" x14ac:dyDescent="0.2">
      <c r="A309" s="10">
        <v>42864</v>
      </c>
    </row>
    <row r="310" spans="1:1" x14ac:dyDescent="0.2">
      <c r="A310" s="10">
        <v>42892</v>
      </c>
    </row>
    <row r="311" spans="1:1" x14ac:dyDescent="0.2">
      <c r="A311" s="10">
        <v>42962</v>
      </c>
    </row>
    <row r="312" spans="1:1" x14ac:dyDescent="0.2">
      <c r="A312" s="10">
        <v>43010</v>
      </c>
    </row>
    <row r="313" spans="1:1" x14ac:dyDescent="0.2">
      <c r="A313" s="10">
        <v>43011</v>
      </c>
    </row>
    <row r="314" spans="1:1" x14ac:dyDescent="0.2">
      <c r="A314" s="10">
        <v>43012</v>
      </c>
    </row>
    <row r="315" spans="1:1" x14ac:dyDescent="0.2">
      <c r="A315" s="10">
        <v>43013</v>
      </c>
    </row>
    <row r="316" spans="1:1" x14ac:dyDescent="0.2">
      <c r="A316" s="10">
        <v>43014</v>
      </c>
    </row>
    <row r="317" spans="1:1" x14ac:dyDescent="0.2">
      <c r="A317" s="10">
        <v>43017</v>
      </c>
    </row>
    <row r="318" spans="1:1" x14ac:dyDescent="0.2">
      <c r="A318" s="10">
        <v>43094</v>
      </c>
    </row>
    <row r="319" spans="1:1" x14ac:dyDescent="0.2">
      <c r="A319" s="10">
        <v>43101</v>
      </c>
    </row>
    <row r="320" spans="1:1" x14ac:dyDescent="0.2">
      <c r="A320" s="10">
        <v>43146</v>
      </c>
    </row>
    <row r="321" spans="1:1" x14ac:dyDescent="0.2">
      <c r="A321" s="10">
        <v>43147</v>
      </c>
    </row>
    <row r="322" spans="1:1" x14ac:dyDescent="0.2">
      <c r="A322" s="10">
        <v>43160</v>
      </c>
    </row>
    <row r="323" spans="1:1" x14ac:dyDescent="0.2">
      <c r="A323" s="10">
        <v>43221</v>
      </c>
    </row>
    <row r="324" spans="1:1" x14ac:dyDescent="0.2">
      <c r="A324" s="10">
        <v>43227</v>
      </c>
    </row>
    <row r="325" spans="1:1" x14ac:dyDescent="0.2">
      <c r="A325" s="10">
        <v>43242</v>
      </c>
    </row>
    <row r="326" spans="1:1" x14ac:dyDescent="0.2">
      <c r="A326" s="10">
        <v>43257</v>
      </c>
    </row>
    <row r="327" spans="1:1" x14ac:dyDescent="0.2">
      <c r="A327" s="10">
        <v>43264</v>
      </c>
    </row>
    <row r="328" spans="1:1" x14ac:dyDescent="0.2">
      <c r="A328" s="10">
        <v>43327</v>
      </c>
    </row>
    <row r="329" spans="1:1" x14ac:dyDescent="0.2">
      <c r="A329" s="10">
        <v>43367</v>
      </c>
    </row>
    <row r="330" spans="1:1" x14ac:dyDescent="0.2">
      <c r="A330" s="10">
        <v>43368</v>
      </c>
    </row>
    <row r="331" spans="1:1" x14ac:dyDescent="0.2">
      <c r="A331" s="10">
        <v>43369</v>
      </c>
    </row>
    <row r="332" spans="1:1" x14ac:dyDescent="0.2">
      <c r="A332" s="10">
        <v>43376</v>
      </c>
    </row>
    <row r="333" spans="1:1" x14ac:dyDescent="0.2">
      <c r="A333" s="10">
        <v>43382</v>
      </c>
    </row>
    <row r="334" spans="1:1" x14ac:dyDescent="0.2">
      <c r="A334" s="10">
        <v>43459</v>
      </c>
    </row>
    <row r="335" spans="1:1" x14ac:dyDescent="0.2">
      <c r="A335" s="10">
        <v>43466</v>
      </c>
    </row>
    <row r="336" spans="1:1" x14ac:dyDescent="0.2">
      <c r="A336" s="10">
        <v>43500</v>
      </c>
    </row>
    <row r="337" spans="1:1" x14ac:dyDescent="0.2">
      <c r="A337" s="10">
        <v>43501</v>
      </c>
    </row>
    <row r="338" spans="1:1" x14ac:dyDescent="0.2">
      <c r="A338" s="10">
        <v>43502</v>
      </c>
    </row>
    <row r="339" spans="1:1" x14ac:dyDescent="0.2">
      <c r="A339" s="10">
        <v>43525</v>
      </c>
    </row>
    <row r="340" spans="1:1" x14ac:dyDescent="0.2">
      <c r="A340" s="10">
        <v>43586</v>
      </c>
    </row>
    <row r="341" spans="1:1" x14ac:dyDescent="0.2">
      <c r="A341" s="10">
        <v>43591</v>
      </c>
    </row>
    <row r="342" spans="1:1" x14ac:dyDescent="0.2">
      <c r="A342" s="10">
        <v>43622</v>
      </c>
    </row>
    <row r="343" spans="1:1" x14ac:dyDescent="0.2">
      <c r="A343" s="10">
        <v>43692</v>
      </c>
    </row>
    <row r="344" spans="1:1" x14ac:dyDescent="0.2">
      <c r="A344" s="10">
        <v>43720</v>
      </c>
    </row>
    <row r="345" spans="1:1" x14ac:dyDescent="0.2">
      <c r="A345" s="10">
        <v>43721</v>
      </c>
    </row>
    <row r="346" spans="1:1" x14ac:dyDescent="0.2">
      <c r="A346" s="10">
        <v>43741</v>
      </c>
    </row>
    <row r="347" spans="1:1" x14ac:dyDescent="0.2">
      <c r="A347" s="10">
        <v>43747</v>
      </c>
    </row>
    <row r="348" spans="1:1" x14ac:dyDescent="0.2">
      <c r="A348" s="10">
        <v>43824</v>
      </c>
    </row>
    <row r="349" spans="1:1" x14ac:dyDescent="0.2">
      <c r="A349" s="10">
        <v>43831</v>
      </c>
    </row>
    <row r="350" spans="1:1" x14ac:dyDescent="0.2">
      <c r="A350" s="10">
        <v>43854</v>
      </c>
    </row>
    <row r="351" spans="1:1" x14ac:dyDescent="0.2">
      <c r="A351" s="10">
        <v>43857</v>
      </c>
    </row>
    <row r="352" spans="1:1" x14ac:dyDescent="0.2">
      <c r="A352" s="10">
        <v>43936</v>
      </c>
    </row>
    <row r="353" spans="1:1" x14ac:dyDescent="0.2">
      <c r="A353" s="10">
        <v>43951</v>
      </c>
    </row>
    <row r="354" spans="1:1" x14ac:dyDescent="0.2">
      <c r="A354" s="10">
        <v>43952</v>
      </c>
    </row>
    <row r="355" spans="1:1" x14ac:dyDescent="0.2">
      <c r="A355" s="10">
        <v>43956</v>
      </c>
    </row>
    <row r="356" spans="1:1" x14ac:dyDescent="0.2">
      <c r="A356" s="10">
        <v>44060</v>
      </c>
    </row>
    <row r="357" spans="1:1" x14ac:dyDescent="0.2">
      <c r="A357" s="10">
        <v>44104</v>
      </c>
    </row>
    <row r="358" spans="1:1" x14ac:dyDescent="0.2">
      <c r="A358" s="10">
        <v>44105</v>
      </c>
    </row>
    <row r="359" spans="1:1" x14ac:dyDescent="0.2">
      <c r="A359" s="10">
        <v>44106</v>
      </c>
    </row>
    <row r="360" spans="1:1" x14ac:dyDescent="0.2">
      <c r="A360" s="10">
        <v>44113</v>
      </c>
    </row>
    <row r="361" spans="1:1" x14ac:dyDescent="0.2">
      <c r="A361" s="10">
        <v>44190</v>
      </c>
    </row>
    <row r="362" spans="1:1" x14ac:dyDescent="0.2">
      <c r="A362" s="10">
        <v>44197</v>
      </c>
    </row>
    <row r="363" spans="1:1" x14ac:dyDescent="0.2">
      <c r="A363" s="10">
        <v>44238</v>
      </c>
    </row>
    <row r="364" spans="1:1" x14ac:dyDescent="0.2">
      <c r="A364" s="10">
        <v>44239</v>
      </c>
    </row>
    <row r="365" spans="1:1" x14ac:dyDescent="0.2">
      <c r="A365" s="10">
        <v>44256</v>
      </c>
    </row>
    <row r="366" spans="1:1" x14ac:dyDescent="0.2">
      <c r="A366" s="10">
        <v>44321</v>
      </c>
    </row>
    <row r="367" spans="1:1" x14ac:dyDescent="0.2">
      <c r="A367" s="10">
        <v>44335</v>
      </c>
    </row>
    <row r="368" spans="1:1" x14ac:dyDescent="0.2">
      <c r="A368" s="10">
        <v>44424</v>
      </c>
    </row>
    <row r="369" spans="1:1" x14ac:dyDescent="0.2">
      <c r="A369" s="10">
        <v>44459</v>
      </c>
    </row>
    <row r="370" spans="1:1" x14ac:dyDescent="0.2">
      <c r="A370" s="10">
        <v>44460</v>
      </c>
    </row>
    <row r="371" spans="1:1" x14ac:dyDescent="0.2">
      <c r="A371" s="10">
        <v>44461</v>
      </c>
    </row>
    <row r="372" spans="1:1" x14ac:dyDescent="0.2">
      <c r="A372" s="10">
        <v>44473</v>
      </c>
    </row>
    <row r="373" spans="1:1" x14ac:dyDescent="0.2">
      <c r="A373" s="10">
        <v>44480</v>
      </c>
    </row>
    <row r="374" spans="1:1" x14ac:dyDescent="0.2">
      <c r="A374" s="10">
        <v>44592</v>
      </c>
    </row>
    <row r="375" spans="1:1" x14ac:dyDescent="0.2">
      <c r="A375" s="10">
        <v>44593</v>
      </c>
    </row>
    <row r="376" spans="1:1" x14ac:dyDescent="0.2">
      <c r="A376" s="10">
        <v>44594</v>
      </c>
    </row>
    <row r="377" spans="1:1" x14ac:dyDescent="0.2">
      <c r="A377" s="10">
        <v>44621</v>
      </c>
    </row>
    <row r="378" spans="1:1" x14ac:dyDescent="0.2">
      <c r="A378" s="10">
        <v>44629</v>
      </c>
    </row>
    <row r="379" spans="1:1" x14ac:dyDescent="0.2">
      <c r="A379" s="10">
        <v>44686</v>
      </c>
    </row>
    <row r="380" spans="1:1" x14ac:dyDescent="0.2">
      <c r="A380" s="10">
        <v>44713</v>
      </c>
    </row>
    <row r="381" spans="1:1" x14ac:dyDescent="0.2">
      <c r="A381" s="10">
        <v>44718</v>
      </c>
    </row>
    <row r="382" spans="1:1" x14ac:dyDescent="0.2">
      <c r="A382" s="10">
        <v>44788</v>
      </c>
    </row>
    <row r="383" spans="1:1" x14ac:dyDescent="0.2">
      <c r="A383" s="10">
        <v>44813</v>
      </c>
    </row>
    <row r="384" spans="1:1" x14ac:dyDescent="0.2">
      <c r="A384" s="10">
        <v>44816</v>
      </c>
    </row>
    <row r="385" spans="1:1" x14ac:dyDescent="0.2">
      <c r="A385" s="10">
        <v>44837</v>
      </c>
    </row>
    <row r="386" spans="1:1" x14ac:dyDescent="0.2">
      <c r="A386" s="10">
        <v>44844</v>
      </c>
    </row>
    <row r="387" spans="1:1" x14ac:dyDescent="0.2">
      <c r="A387" s="10">
        <v>44949</v>
      </c>
    </row>
    <row r="388" spans="1:1" x14ac:dyDescent="0.2">
      <c r="A388" s="10">
        <v>44950</v>
      </c>
    </row>
    <row r="389" spans="1:1" x14ac:dyDescent="0.2">
      <c r="A389" s="10">
        <v>44986</v>
      </c>
    </row>
    <row r="390" spans="1:1" x14ac:dyDescent="0.2">
      <c r="A390" s="10">
        <v>45047</v>
      </c>
    </row>
    <row r="391" spans="1:1" x14ac:dyDescent="0.2">
      <c r="A391" s="10">
        <v>45051</v>
      </c>
    </row>
    <row r="392" spans="1:1" x14ac:dyDescent="0.2">
      <c r="A392" s="10">
        <v>45075</v>
      </c>
    </row>
    <row r="393" spans="1:1" x14ac:dyDescent="0.2">
      <c r="A393" s="10">
        <v>45083</v>
      </c>
    </row>
    <row r="394" spans="1:1" x14ac:dyDescent="0.2">
      <c r="A394" s="10">
        <v>45153</v>
      </c>
    </row>
    <row r="395" spans="1:1" x14ac:dyDescent="0.2">
      <c r="A395" s="10">
        <v>45197</v>
      </c>
    </row>
    <row r="396" spans="1:1" x14ac:dyDescent="0.2">
      <c r="A396" s="10">
        <v>45198</v>
      </c>
    </row>
    <row r="397" spans="1:1" x14ac:dyDescent="0.2">
      <c r="A397" s="10">
        <v>45202</v>
      </c>
    </row>
    <row r="398" spans="1:1" x14ac:dyDescent="0.2">
      <c r="A398" s="10">
        <v>45208</v>
      </c>
    </row>
    <row r="399" spans="1:1" x14ac:dyDescent="0.2">
      <c r="A399" s="10">
        <v>45285</v>
      </c>
    </row>
    <row r="400" spans="1:1" x14ac:dyDescent="0.2">
      <c r="A400" s="10">
        <v>45292</v>
      </c>
    </row>
    <row r="401" spans="1:1" x14ac:dyDescent="0.2">
      <c r="A401" s="10">
        <v>45331</v>
      </c>
    </row>
    <row r="402" spans="1:1" x14ac:dyDescent="0.2">
      <c r="A402" s="10">
        <v>45334</v>
      </c>
    </row>
    <row r="403" spans="1:1" x14ac:dyDescent="0.2">
      <c r="A403" s="10">
        <v>45352</v>
      </c>
    </row>
    <row r="404" spans="1:1" x14ac:dyDescent="0.2">
      <c r="A404" s="10">
        <v>45392</v>
      </c>
    </row>
    <row r="405" spans="1:1" x14ac:dyDescent="0.2">
      <c r="A405" s="10">
        <v>45413</v>
      </c>
    </row>
    <row r="406" spans="1:1" x14ac:dyDescent="0.2">
      <c r="A406" s="10">
        <v>45418</v>
      </c>
    </row>
    <row r="407" spans="1:1" x14ac:dyDescent="0.2">
      <c r="A407" s="10">
        <v>45427</v>
      </c>
    </row>
    <row r="408" spans="1:1" x14ac:dyDescent="0.2">
      <c r="A408" s="10">
        <v>45449</v>
      </c>
    </row>
    <row r="409" spans="1:1" x14ac:dyDescent="0.2">
      <c r="A409" s="10">
        <v>45519</v>
      </c>
    </row>
    <row r="410" spans="1:1" x14ac:dyDescent="0.2">
      <c r="A410" s="10">
        <v>45551</v>
      </c>
    </row>
    <row r="411" spans="1:1" x14ac:dyDescent="0.2">
      <c r="A411" s="10">
        <v>45552</v>
      </c>
    </row>
    <row r="412" spans="1:1" x14ac:dyDescent="0.2">
      <c r="A412" s="10">
        <v>45553</v>
      </c>
    </row>
    <row r="413" spans="1:1" x14ac:dyDescent="0.2">
      <c r="A413" s="10">
        <v>45568</v>
      </c>
    </row>
    <row r="414" spans="1:1" x14ac:dyDescent="0.2">
      <c r="A414" s="10">
        <v>45574</v>
      </c>
    </row>
    <row r="415" spans="1:1" x14ac:dyDescent="0.2">
      <c r="A415" s="10">
        <v>45651</v>
      </c>
    </row>
    <row r="416" spans="1:1" x14ac:dyDescent="0.2">
      <c r="A416" s="10">
        <v>45658</v>
      </c>
    </row>
    <row r="417" spans="1:1" x14ac:dyDescent="0.2">
      <c r="A417" s="10">
        <v>45685</v>
      </c>
    </row>
    <row r="418" spans="1:1" x14ac:dyDescent="0.2">
      <c r="A418" s="10">
        <v>45686</v>
      </c>
    </row>
    <row r="419" spans="1:1" x14ac:dyDescent="0.2">
      <c r="A419" s="10">
        <v>45687</v>
      </c>
    </row>
    <row r="420" spans="1:1" x14ac:dyDescent="0.2">
      <c r="A420" s="10">
        <v>45719</v>
      </c>
    </row>
    <row r="421" spans="1:1" x14ac:dyDescent="0.2">
      <c r="A421" s="10">
        <v>45778</v>
      </c>
    </row>
    <row r="422" spans="1:1" x14ac:dyDescent="0.2">
      <c r="A422" s="10">
        <v>45782</v>
      </c>
    </row>
    <row r="423" spans="1:1" x14ac:dyDescent="0.2">
      <c r="A423" s="10">
        <v>45783</v>
      </c>
    </row>
    <row r="424" spans="1:1" x14ac:dyDescent="0.2">
      <c r="A424" s="10">
        <v>45814</v>
      </c>
    </row>
    <row r="425" spans="1:1" x14ac:dyDescent="0.2">
      <c r="A425" s="10">
        <v>45884</v>
      </c>
    </row>
    <row r="426" spans="1:1" x14ac:dyDescent="0.2">
      <c r="A426" s="10">
        <v>45933</v>
      </c>
    </row>
    <row r="427" spans="1:1" x14ac:dyDescent="0.2">
      <c r="A427" s="10">
        <v>45936</v>
      </c>
    </row>
    <row r="428" spans="1:1" x14ac:dyDescent="0.2">
      <c r="A428" s="10">
        <v>45937</v>
      </c>
    </row>
    <row r="429" spans="1:1" x14ac:dyDescent="0.2">
      <c r="A429" s="10">
        <v>45938</v>
      </c>
    </row>
    <row r="430" spans="1:1" x14ac:dyDescent="0.2">
      <c r="A430" s="10">
        <v>45939</v>
      </c>
    </row>
    <row r="431" spans="1:1" x14ac:dyDescent="0.2">
      <c r="A431" s="10">
        <v>46016</v>
      </c>
    </row>
    <row r="432" spans="1:1" x14ac:dyDescent="0.2">
      <c r="A432" s="10">
        <v>46023</v>
      </c>
    </row>
    <row r="433" spans="1:1" x14ac:dyDescent="0.2">
      <c r="A433" s="10">
        <v>46069</v>
      </c>
    </row>
    <row r="434" spans="1:1" x14ac:dyDescent="0.2">
      <c r="A434" s="10">
        <v>46070</v>
      </c>
    </row>
    <row r="435" spans="1:1" x14ac:dyDescent="0.2">
      <c r="A435" s="10">
        <v>46071</v>
      </c>
    </row>
    <row r="436" spans="1:1" x14ac:dyDescent="0.2">
      <c r="A436" s="10">
        <v>46083</v>
      </c>
    </row>
    <row r="437" spans="1:1" x14ac:dyDescent="0.2">
      <c r="A437" s="10">
        <v>46143</v>
      </c>
    </row>
    <row r="438" spans="1:1" x14ac:dyDescent="0.2">
      <c r="A438" s="10">
        <v>46147</v>
      </c>
    </row>
    <row r="439" spans="1:1" x14ac:dyDescent="0.2">
      <c r="A439" s="10">
        <v>46167</v>
      </c>
    </row>
    <row r="440" spans="1:1" x14ac:dyDescent="0.2">
      <c r="A440" s="10">
        <v>46176</v>
      </c>
    </row>
    <row r="441" spans="1:1" x14ac:dyDescent="0.2">
      <c r="A441" s="10">
        <v>46251</v>
      </c>
    </row>
    <row r="442" spans="1:1" x14ac:dyDescent="0.2">
      <c r="A442" s="10">
        <v>46289</v>
      </c>
    </row>
    <row r="443" spans="1:1" x14ac:dyDescent="0.2">
      <c r="A443" s="10">
        <v>46290</v>
      </c>
    </row>
    <row r="444" spans="1:1" x14ac:dyDescent="0.2">
      <c r="A444" s="10">
        <v>46300</v>
      </c>
    </row>
    <row r="445" spans="1:1" x14ac:dyDescent="0.2">
      <c r="A445" s="10">
        <v>46304</v>
      </c>
    </row>
    <row r="446" spans="1:1" x14ac:dyDescent="0.2">
      <c r="A446" s="10">
        <v>46381</v>
      </c>
    </row>
    <row r="447" spans="1:1" x14ac:dyDescent="0.2">
      <c r="A447" s="10">
        <v>46388</v>
      </c>
    </row>
    <row r="448" spans="1:1" x14ac:dyDescent="0.2">
      <c r="A448" s="10">
        <v>46426</v>
      </c>
    </row>
    <row r="449" spans="1:1" x14ac:dyDescent="0.2">
      <c r="A449" s="10">
        <v>46427</v>
      </c>
    </row>
    <row r="450" spans="1:1" x14ac:dyDescent="0.2">
      <c r="A450" s="10">
        <v>46447</v>
      </c>
    </row>
    <row r="451" spans="1:1" x14ac:dyDescent="0.2">
      <c r="A451" s="10">
        <v>46449</v>
      </c>
    </row>
    <row r="452" spans="1:1" x14ac:dyDescent="0.2">
      <c r="A452" s="10">
        <v>46512</v>
      </c>
    </row>
    <row r="453" spans="1:1" x14ac:dyDescent="0.2">
      <c r="A453" s="10">
        <v>46520</v>
      </c>
    </row>
    <row r="454" spans="1:1" x14ac:dyDescent="0.2">
      <c r="A454" s="10">
        <v>46615</v>
      </c>
    </row>
    <row r="455" spans="1:1" x14ac:dyDescent="0.2">
      <c r="A455" s="10">
        <v>46644</v>
      </c>
    </row>
    <row r="456" spans="1:1" x14ac:dyDescent="0.2">
      <c r="A456" s="10">
        <v>46645</v>
      </c>
    </row>
    <row r="457" spans="1:1" x14ac:dyDescent="0.2">
      <c r="A457" s="10">
        <v>46646</v>
      </c>
    </row>
    <row r="458" spans="1:1" x14ac:dyDescent="0.2">
      <c r="A458" s="10">
        <v>46664</v>
      </c>
    </row>
    <row r="459" spans="1:1" x14ac:dyDescent="0.2">
      <c r="A459" s="10">
        <v>46671</v>
      </c>
    </row>
    <row r="460" spans="1:1" x14ac:dyDescent="0.2">
      <c r="A460" s="10">
        <v>46748</v>
      </c>
    </row>
    <row r="461" spans="1:1" x14ac:dyDescent="0.2">
      <c r="A461" s="10">
        <v>46778</v>
      </c>
    </row>
    <row r="462" spans="1:1" x14ac:dyDescent="0.2">
      <c r="A462" s="10">
        <v>46779</v>
      </c>
    </row>
    <row r="463" spans="1:1" x14ac:dyDescent="0.2">
      <c r="A463" s="10">
        <v>46780</v>
      </c>
    </row>
    <row r="464" spans="1:1" x14ac:dyDescent="0.2">
      <c r="A464" s="10">
        <v>46813</v>
      </c>
    </row>
    <row r="465" spans="1:1" x14ac:dyDescent="0.2">
      <c r="A465" s="10">
        <v>46855</v>
      </c>
    </row>
    <row r="466" spans="1:1" x14ac:dyDescent="0.2">
      <c r="A466" s="10">
        <v>46874</v>
      </c>
    </row>
    <row r="467" spans="1:1" x14ac:dyDescent="0.2">
      <c r="A467" s="10">
        <v>46875</v>
      </c>
    </row>
    <row r="468" spans="1:1" x14ac:dyDescent="0.2">
      <c r="A468" s="10">
        <v>46878</v>
      </c>
    </row>
    <row r="469" spans="1:1" x14ac:dyDescent="0.2">
      <c r="A469" s="10">
        <v>46910</v>
      </c>
    </row>
    <row r="470" spans="1:1" x14ac:dyDescent="0.2">
      <c r="A470" s="10">
        <v>46980</v>
      </c>
    </row>
    <row r="471" spans="1:1" x14ac:dyDescent="0.2">
      <c r="A471" s="10">
        <v>47028</v>
      </c>
    </row>
    <row r="472" spans="1:1" x14ac:dyDescent="0.2">
      <c r="A472" s="10">
        <v>47029</v>
      </c>
    </row>
    <row r="473" spans="1:1" x14ac:dyDescent="0.2">
      <c r="A473" s="10">
        <v>47030</v>
      </c>
    </row>
    <row r="474" spans="1:1" x14ac:dyDescent="0.2">
      <c r="A474" s="10">
        <v>47031</v>
      </c>
    </row>
    <row r="475" spans="1:1" x14ac:dyDescent="0.2">
      <c r="A475" s="10">
        <v>47035</v>
      </c>
    </row>
    <row r="476" spans="1:1" x14ac:dyDescent="0.2">
      <c r="A476" s="10">
        <v>47112</v>
      </c>
    </row>
    <row r="477" spans="1:1" x14ac:dyDescent="0.2">
      <c r="A477" s="10">
        <v>47119</v>
      </c>
    </row>
    <row r="478" spans="1:1" x14ac:dyDescent="0.2">
      <c r="A478" s="10">
        <v>47161</v>
      </c>
    </row>
    <row r="479" spans="1:1" x14ac:dyDescent="0.2">
      <c r="A479" s="10">
        <v>47162</v>
      </c>
    </row>
    <row r="480" spans="1:1" x14ac:dyDescent="0.2">
      <c r="A480" s="10">
        <v>47163</v>
      </c>
    </row>
    <row r="481" spans="1:1" x14ac:dyDescent="0.2">
      <c r="A481" s="10">
        <v>47178</v>
      </c>
    </row>
    <row r="482" spans="1:1" x14ac:dyDescent="0.2">
      <c r="A482" s="10">
        <v>47239</v>
      </c>
    </row>
    <row r="483" spans="1:1" x14ac:dyDescent="0.2">
      <c r="A483" s="10">
        <v>47245</v>
      </c>
    </row>
    <row r="484" spans="1:1" x14ac:dyDescent="0.2">
      <c r="A484" s="10">
        <v>47259</v>
      </c>
    </row>
    <row r="485" spans="1:1" x14ac:dyDescent="0.2">
      <c r="A485" s="10">
        <v>47275</v>
      </c>
    </row>
    <row r="486" spans="1:1" x14ac:dyDescent="0.2">
      <c r="A486" s="10">
        <v>47345</v>
      </c>
    </row>
    <row r="487" spans="1:1" x14ac:dyDescent="0.2">
      <c r="A487" s="10">
        <v>47382</v>
      </c>
    </row>
    <row r="488" spans="1:1" x14ac:dyDescent="0.2">
      <c r="A488" s="10">
        <v>47385</v>
      </c>
    </row>
    <row r="489" spans="1:1" x14ac:dyDescent="0.2">
      <c r="A489" s="10">
        <v>47394</v>
      </c>
    </row>
    <row r="490" spans="1:1" x14ac:dyDescent="0.2">
      <c r="A490" s="10">
        <v>47400</v>
      </c>
    </row>
    <row r="491" spans="1:1" x14ac:dyDescent="0.2">
      <c r="A491" s="10">
        <v>47477</v>
      </c>
    </row>
    <row r="492" spans="1:1" x14ac:dyDescent="0.2">
      <c r="A492" s="10">
        <v>47484</v>
      </c>
    </row>
    <row r="493" spans="1:1" x14ac:dyDescent="0.2">
      <c r="A493" s="10">
        <v>47518</v>
      </c>
    </row>
    <row r="494" spans="1:1" x14ac:dyDescent="0.2">
      <c r="A494" s="10">
        <v>47519</v>
      </c>
    </row>
    <row r="495" spans="1:1" x14ac:dyDescent="0.2">
      <c r="A495" s="10">
        <v>47543</v>
      </c>
    </row>
    <row r="496" spans="1:1" x14ac:dyDescent="0.2">
      <c r="A496" s="10">
        <v>47604</v>
      </c>
    </row>
    <row r="497" spans="1:1" x14ac:dyDescent="0.2">
      <c r="A497" s="10">
        <v>47609</v>
      </c>
    </row>
    <row r="498" spans="1:1" x14ac:dyDescent="0.2">
      <c r="A498" s="10">
        <v>47612</v>
      </c>
    </row>
    <row r="499" spans="1:1" x14ac:dyDescent="0.2">
      <c r="A499" s="10">
        <v>47640</v>
      </c>
    </row>
    <row r="500" spans="1:1" x14ac:dyDescent="0.2">
      <c r="A500" s="10">
        <v>47646</v>
      </c>
    </row>
    <row r="501" spans="1:1" x14ac:dyDescent="0.2">
      <c r="A501" s="10">
        <v>47710</v>
      </c>
    </row>
    <row r="502" spans="1:1" x14ac:dyDescent="0.2">
      <c r="A502" s="10">
        <v>47737</v>
      </c>
    </row>
    <row r="503" spans="1:1" x14ac:dyDescent="0.2">
      <c r="A503" s="10">
        <v>47738</v>
      </c>
    </row>
    <row r="504" spans="1:1" x14ac:dyDescent="0.2">
      <c r="A504" s="10">
        <v>47739</v>
      </c>
    </row>
    <row r="505" spans="1:1" x14ac:dyDescent="0.2">
      <c r="A505" s="10">
        <v>47759</v>
      </c>
    </row>
    <row r="506" spans="1:1" x14ac:dyDescent="0.2">
      <c r="A506" s="10">
        <v>47765</v>
      </c>
    </row>
    <row r="507" spans="1:1" x14ac:dyDescent="0.2">
      <c r="A507" s="10">
        <v>47842</v>
      </c>
    </row>
    <row r="508" spans="1:1" x14ac:dyDescent="0.2">
      <c r="A508" s="10">
        <v>47849</v>
      </c>
    </row>
    <row r="509" spans="1:1" x14ac:dyDescent="0.2">
      <c r="A509" s="10">
        <v>47870</v>
      </c>
    </row>
    <row r="510" spans="1:1" x14ac:dyDescent="0.2">
      <c r="A510" s="10">
        <v>47871</v>
      </c>
    </row>
    <row r="511" spans="1:1" x14ac:dyDescent="0.2">
      <c r="A511" s="10">
        <v>47872</v>
      </c>
    </row>
    <row r="512" spans="1:1" x14ac:dyDescent="0.2">
      <c r="A512" s="10">
        <v>47910</v>
      </c>
    </row>
    <row r="513" spans="1:1" x14ac:dyDescent="0.2">
      <c r="A513" s="10">
        <v>47969</v>
      </c>
    </row>
    <row r="514" spans="1:1" x14ac:dyDescent="0.2">
      <c r="A514" s="10">
        <v>47973</v>
      </c>
    </row>
    <row r="515" spans="1:1" x14ac:dyDescent="0.2">
      <c r="A515" s="10">
        <v>47996</v>
      </c>
    </row>
    <row r="516" spans="1:1" x14ac:dyDescent="0.2">
      <c r="A516" s="10">
        <v>48005</v>
      </c>
    </row>
    <row r="517" spans="1:1" x14ac:dyDescent="0.2">
      <c r="A517" s="10">
        <v>48075</v>
      </c>
    </row>
    <row r="518" spans="1:1" x14ac:dyDescent="0.2">
      <c r="A518" s="10">
        <v>48121</v>
      </c>
    </row>
    <row r="519" spans="1:1" x14ac:dyDescent="0.2">
      <c r="A519" s="10">
        <v>48122</v>
      </c>
    </row>
    <row r="520" spans="1:1" x14ac:dyDescent="0.2">
      <c r="A520" s="10">
        <v>48123</v>
      </c>
    </row>
    <row r="521" spans="1:1" x14ac:dyDescent="0.2">
      <c r="A521" s="10">
        <v>48124</v>
      </c>
    </row>
    <row r="522" spans="1:1" x14ac:dyDescent="0.2">
      <c r="A522" s="10">
        <v>48130</v>
      </c>
    </row>
    <row r="523" spans="1:1" x14ac:dyDescent="0.2">
      <c r="A523" s="10">
        <v>48207</v>
      </c>
    </row>
    <row r="524" spans="1:1" x14ac:dyDescent="0.2">
      <c r="A524" s="10">
        <v>48214</v>
      </c>
    </row>
    <row r="525" spans="1:1" x14ac:dyDescent="0.2">
      <c r="A525" s="10">
        <v>48254</v>
      </c>
    </row>
    <row r="526" spans="1:1" x14ac:dyDescent="0.2">
      <c r="A526" s="10">
        <v>48255</v>
      </c>
    </row>
    <row r="527" spans="1:1" x14ac:dyDescent="0.2">
      <c r="A527" s="10">
        <v>48256</v>
      </c>
    </row>
    <row r="528" spans="1:1" x14ac:dyDescent="0.2">
      <c r="A528" s="10">
        <v>48274</v>
      </c>
    </row>
    <row r="529" spans="1:1" x14ac:dyDescent="0.2">
      <c r="A529" s="10">
        <v>48276</v>
      </c>
    </row>
    <row r="530" spans="1:1" x14ac:dyDescent="0.2">
      <c r="A530" s="10">
        <v>48318</v>
      </c>
    </row>
    <row r="531" spans="1:1" x14ac:dyDescent="0.2">
      <c r="A531" s="10">
        <v>48339</v>
      </c>
    </row>
    <row r="532" spans="1:1" x14ac:dyDescent="0.2">
      <c r="A532" s="10">
        <v>48351</v>
      </c>
    </row>
    <row r="533" spans="1:1" x14ac:dyDescent="0.2">
      <c r="A533" s="10">
        <v>48442</v>
      </c>
    </row>
    <row r="534" spans="1:1" x14ac:dyDescent="0.2">
      <c r="A534" s="10">
        <v>48477</v>
      </c>
    </row>
    <row r="535" spans="1:1" x14ac:dyDescent="0.2">
      <c r="A535" s="10">
        <v>48478</v>
      </c>
    </row>
    <row r="536" spans="1:1" x14ac:dyDescent="0.2">
      <c r="A536" s="10">
        <v>48491</v>
      </c>
    </row>
    <row r="537" spans="1:1" x14ac:dyDescent="0.2">
      <c r="A537" s="10">
        <v>48498</v>
      </c>
    </row>
    <row r="538" spans="1:1" x14ac:dyDescent="0.2">
      <c r="A538" s="10">
        <v>48575</v>
      </c>
    </row>
    <row r="539" spans="1:1" x14ac:dyDescent="0.2">
      <c r="A539" s="10">
        <v>48610</v>
      </c>
    </row>
    <row r="540" spans="1:1" x14ac:dyDescent="0.2">
      <c r="A540" s="10">
        <v>48611</v>
      </c>
    </row>
    <row r="541" spans="1:1" x14ac:dyDescent="0.2">
      <c r="A541" s="10">
        <v>48612</v>
      </c>
    </row>
    <row r="542" spans="1:1" x14ac:dyDescent="0.2">
      <c r="A542" s="10">
        <v>48639</v>
      </c>
    </row>
    <row r="543" spans="1:1" x14ac:dyDescent="0.2">
      <c r="A543" s="10">
        <v>48704</v>
      </c>
    </row>
    <row r="544" spans="1:1" x14ac:dyDescent="0.2">
      <c r="A544" s="10">
        <v>48705</v>
      </c>
    </row>
    <row r="545" spans="1:1" x14ac:dyDescent="0.2">
      <c r="A545" s="10">
        <v>48736</v>
      </c>
    </row>
    <row r="546" spans="1:1" x14ac:dyDescent="0.2">
      <c r="A546" s="10">
        <v>48806</v>
      </c>
    </row>
    <row r="547" spans="1:1" x14ac:dyDescent="0.2">
      <c r="A547" s="10">
        <v>48829</v>
      </c>
    </row>
    <row r="548" spans="1:1" x14ac:dyDescent="0.2">
      <c r="A548" s="10">
        <v>48830</v>
      </c>
    </row>
    <row r="549" spans="1:1" x14ac:dyDescent="0.2">
      <c r="A549" s="10">
        <v>48831</v>
      </c>
    </row>
    <row r="550" spans="1:1" x14ac:dyDescent="0.2">
      <c r="A550" s="10">
        <v>48855</v>
      </c>
    </row>
    <row r="551" spans="1:1" x14ac:dyDescent="0.2">
      <c r="A551" s="10">
        <v>48862</v>
      </c>
    </row>
    <row r="552" spans="1:1" x14ac:dyDescent="0.2">
      <c r="A552" s="10">
        <v>48939</v>
      </c>
    </row>
    <row r="553" spans="1:1" x14ac:dyDescent="0.2">
      <c r="A553" s="10">
        <v>48995</v>
      </c>
    </row>
    <row r="554" spans="1:1" x14ac:dyDescent="0.2">
      <c r="A554" s="10">
        <v>48996</v>
      </c>
    </row>
    <row r="555" spans="1:1" x14ac:dyDescent="0.2">
      <c r="A555" s="10">
        <v>49004</v>
      </c>
    </row>
    <row r="556" spans="1:1" x14ac:dyDescent="0.2">
      <c r="A556" s="10">
        <v>49065</v>
      </c>
    </row>
    <row r="557" spans="1:1" x14ac:dyDescent="0.2">
      <c r="A557" s="10">
        <v>49069</v>
      </c>
    </row>
    <row r="558" spans="1:1" x14ac:dyDescent="0.2">
      <c r="A558" s="10">
        <v>49089</v>
      </c>
    </row>
    <row r="559" spans="1:1" x14ac:dyDescent="0.2">
      <c r="A559" s="10">
        <v>49095</v>
      </c>
    </row>
    <row r="560" spans="1:1" x14ac:dyDescent="0.2">
      <c r="A560" s="10">
        <v>49101</v>
      </c>
    </row>
    <row r="561" spans="1:1" x14ac:dyDescent="0.2">
      <c r="A561" s="10">
        <v>49171</v>
      </c>
    </row>
    <row r="562" spans="1:1" x14ac:dyDescent="0.2">
      <c r="A562" s="10">
        <v>49213</v>
      </c>
    </row>
    <row r="563" spans="1:1" x14ac:dyDescent="0.2">
      <c r="A563" s="10">
        <v>49214</v>
      </c>
    </row>
    <row r="564" spans="1:1" x14ac:dyDescent="0.2">
      <c r="A564" s="10">
        <v>49215</v>
      </c>
    </row>
    <row r="565" spans="1:1" x14ac:dyDescent="0.2">
      <c r="A565" s="10">
        <v>49220</v>
      </c>
    </row>
    <row r="566" spans="1:1" x14ac:dyDescent="0.2">
      <c r="A566" s="10">
        <v>49226</v>
      </c>
    </row>
    <row r="567" spans="1:1" x14ac:dyDescent="0.2">
      <c r="A567" s="10">
        <v>49303</v>
      </c>
    </row>
    <row r="568" spans="1:1" x14ac:dyDescent="0.2">
      <c r="A568" s="10">
        <v>49310</v>
      </c>
    </row>
    <row r="569" spans="1:1" x14ac:dyDescent="0.2">
      <c r="A569" s="10">
        <v>49347</v>
      </c>
    </row>
    <row r="570" spans="1:1" x14ac:dyDescent="0.2">
      <c r="A570" s="10">
        <v>49348</v>
      </c>
    </row>
    <row r="571" spans="1:1" x14ac:dyDescent="0.2">
      <c r="A571" s="10">
        <v>49349</v>
      </c>
    </row>
    <row r="572" spans="1:1" x14ac:dyDescent="0.2">
      <c r="A572" s="10">
        <v>49369</v>
      </c>
    </row>
    <row r="573" spans="1:1" x14ac:dyDescent="0.2">
      <c r="A573" s="10">
        <v>49430</v>
      </c>
    </row>
    <row r="574" spans="1:1" x14ac:dyDescent="0.2">
      <c r="A574" s="10">
        <v>49436</v>
      </c>
    </row>
    <row r="575" spans="1:1" x14ac:dyDescent="0.2">
      <c r="A575" s="10">
        <v>49444</v>
      </c>
    </row>
    <row r="576" spans="1:1" x14ac:dyDescent="0.2">
      <c r="A576" s="10">
        <v>49466</v>
      </c>
    </row>
    <row r="577" spans="1:1" x14ac:dyDescent="0.2">
      <c r="A577" s="10">
        <v>49536</v>
      </c>
    </row>
    <row r="578" spans="1:1" x14ac:dyDescent="0.2">
      <c r="A578" s="10">
        <v>49569</v>
      </c>
    </row>
    <row r="579" spans="1:1" x14ac:dyDescent="0.2">
      <c r="A579" s="10">
        <v>49570</v>
      </c>
    </row>
    <row r="580" spans="1:1" x14ac:dyDescent="0.2">
      <c r="A580" s="10">
        <v>49585</v>
      </c>
    </row>
    <row r="581" spans="1:1" x14ac:dyDescent="0.2">
      <c r="A581" s="10">
        <v>49591</v>
      </c>
    </row>
    <row r="582" spans="1:1" x14ac:dyDescent="0.2">
      <c r="A582" s="10">
        <v>49668</v>
      </c>
    </row>
    <row r="583" spans="1:1" x14ac:dyDescent="0.2">
      <c r="A583" s="10">
        <v>49675</v>
      </c>
    </row>
    <row r="584" spans="1:1" x14ac:dyDescent="0.2">
      <c r="A584" s="10">
        <v>49702</v>
      </c>
    </row>
    <row r="585" spans="1:1" x14ac:dyDescent="0.2">
      <c r="A585" s="10">
        <v>49703</v>
      </c>
    </row>
    <row r="586" spans="1:1" x14ac:dyDescent="0.2">
      <c r="A586" s="10">
        <v>49704</v>
      </c>
    </row>
    <row r="587" spans="1:1" x14ac:dyDescent="0.2">
      <c r="A587" s="10">
        <v>49737</v>
      </c>
    </row>
    <row r="588" spans="1:1" x14ac:dyDescent="0.2">
      <c r="A588" s="10">
        <v>49774</v>
      </c>
    </row>
    <row r="589" spans="1:1" x14ac:dyDescent="0.2">
      <c r="A589" s="10">
        <v>49796</v>
      </c>
    </row>
    <row r="590" spans="1:1" x14ac:dyDescent="0.2">
      <c r="A590" s="10">
        <v>49800</v>
      </c>
    </row>
    <row r="591" spans="1:1" x14ac:dyDescent="0.2">
      <c r="A591" s="10">
        <v>49801</v>
      </c>
    </row>
    <row r="592" spans="1:1" x14ac:dyDescent="0.2">
      <c r="A592" s="10">
        <v>49832</v>
      </c>
    </row>
    <row r="593" spans="1:1" x14ac:dyDescent="0.2">
      <c r="A593" s="10">
        <v>49902</v>
      </c>
    </row>
    <row r="594" spans="1:1" x14ac:dyDescent="0.2">
      <c r="A594" s="10">
        <v>49951</v>
      </c>
    </row>
    <row r="595" spans="1:1" x14ac:dyDescent="0.2">
      <c r="A595" s="10">
        <v>49954</v>
      </c>
    </row>
    <row r="596" spans="1:1" x14ac:dyDescent="0.2">
      <c r="A596" s="10">
        <v>49955</v>
      </c>
    </row>
    <row r="597" spans="1:1" x14ac:dyDescent="0.2">
      <c r="A597" s="10">
        <v>49957</v>
      </c>
    </row>
    <row r="598" spans="1:1" x14ac:dyDescent="0.2">
      <c r="A598" s="10">
        <v>50034</v>
      </c>
    </row>
    <row r="599" spans="1:1" x14ac:dyDescent="0.2">
      <c r="A599" s="10">
        <v>50041</v>
      </c>
    </row>
    <row r="600" spans="1:1" x14ac:dyDescent="0.2">
      <c r="A600" s="10">
        <v>50087</v>
      </c>
    </row>
    <row r="601" spans="1:1" x14ac:dyDescent="0.2">
      <c r="A601" s="10">
        <v>50088</v>
      </c>
    </row>
    <row r="602" spans="1:1" x14ac:dyDescent="0.2">
      <c r="A602" s="10">
        <v>50101</v>
      </c>
    </row>
    <row r="603" spans="1:1" x14ac:dyDescent="0.2">
      <c r="A603" s="10">
        <v>50103</v>
      </c>
    </row>
    <row r="604" spans="1:1" x14ac:dyDescent="0.2">
      <c r="A604" s="10">
        <v>50161</v>
      </c>
    </row>
    <row r="605" spans="1:1" x14ac:dyDescent="0.2">
      <c r="A605" s="10">
        <v>50165</v>
      </c>
    </row>
    <row r="606" spans="1:1" x14ac:dyDescent="0.2">
      <c r="A606" s="10">
        <v>50182</v>
      </c>
    </row>
    <row r="607" spans="1:1" x14ac:dyDescent="0.2">
      <c r="A607" s="10">
        <v>50269</v>
      </c>
    </row>
    <row r="608" spans="1:1" x14ac:dyDescent="0.2">
      <c r="A608" s="10">
        <v>50306</v>
      </c>
    </row>
    <row r="609" spans="1:1" x14ac:dyDescent="0.2">
      <c r="A609" s="10">
        <v>50307</v>
      </c>
    </row>
    <row r="610" spans="1:1" x14ac:dyDescent="0.2">
      <c r="A610" s="10">
        <v>50308</v>
      </c>
    </row>
    <row r="611" spans="1:1" x14ac:dyDescent="0.2">
      <c r="A611" s="10">
        <v>50318</v>
      </c>
    </row>
    <row r="612" spans="1:1" x14ac:dyDescent="0.2">
      <c r="A612" s="10">
        <v>50322</v>
      </c>
    </row>
    <row r="613" spans="1:1" x14ac:dyDescent="0.2">
      <c r="A613" s="10">
        <v>50399</v>
      </c>
    </row>
    <row r="614" spans="1:1" x14ac:dyDescent="0.2">
      <c r="A614" s="10">
        <v>50406</v>
      </c>
    </row>
    <row r="615" spans="1:1" x14ac:dyDescent="0.2">
      <c r="A615" s="10">
        <v>50439</v>
      </c>
    </row>
    <row r="616" spans="1:1" x14ac:dyDescent="0.2">
      <c r="A616" s="10">
        <v>50440</v>
      </c>
    </row>
    <row r="617" spans="1:1" x14ac:dyDescent="0.2">
      <c r="A617" s="10">
        <v>50441</v>
      </c>
    </row>
    <row r="618" spans="1:1" x14ac:dyDescent="0.2">
      <c r="A618" s="10">
        <v>50465</v>
      </c>
    </row>
    <row r="619" spans="1:1" x14ac:dyDescent="0.2">
      <c r="A619" s="10">
        <v>50530</v>
      </c>
    </row>
    <row r="620" spans="1:1" x14ac:dyDescent="0.2">
      <c r="A620" s="10">
        <v>50536</v>
      </c>
    </row>
    <row r="621" spans="1:1" x14ac:dyDescent="0.2">
      <c r="A621" s="10">
        <v>50558</v>
      </c>
    </row>
    <row r="622" spans="1:1" x14ac:dyDescent="0.2">
      <c r="A622" s="10">
        <v>50633</v>
      </c>
    </row>
    <row r="623" spans="1:1" x14ac:dyDescent="0.2">
      <c r="A623" s="10">
        <v>50661</v>
      </c>
    </row>
    <row r="624" spans="1:1" x14ac:dyDescent="0.2">
      <c r="A624" s="10">
        <v>50662</v>
      </c>
    </row>
    <row r="625" spans="1:1" x14ac:dyDescent="0.2">
      <c r="A625" s="10">
        <v>50663</v>
      </c>
    </row>
    <row r="626" spans="1:1" x14ac:dyDescent="0.2">
      <c r="A626" s="10">
        <v>50682</v>
      </c>
    </row>
    <row r="627" spans="1:1" x14ac:dyDescent="0.2">
      <c r="A627" s="10">
        <v>50689</v>
      </c>
    </row>
    <row r="628" spans="1:1" x14ac:dyDescent="0.2">
      <c r="A628" s="10">
        <v>50766</v>
      </c>
    </row>
    <row r="629" spans="1:1" x14ac:dyDescent="0.2">
      <c r="A629" s="10">
        <v>50794</v>
      </c>
    </row>
    <row r="630" spans="1:1" x14ac:dyDescent="0.2">
      <c r="A630" s="10">
        <v>50795</v>
      </c>
    </row>
    <row r="631" spans="1:1" x14ac:dyDescent="0.2">
      <c r="A631" s="10">
        <v>50796</v>
      </c>
    </row>
    <row r="632" spans="1:1" x14ac:dyDescent="0.2">
      <c r="A632" s="10">
        <v>50830</v>
      </c>
    </row>
    <row r="633" spans="1:1" x14ac:dyDescent="0.2">
      <c r="A633" s="10">
        <v>50892</v>
      </c>
    </row>
    <row r="634" spans="1:1" x14ac:dyDescent="0.2">
      <c r="A634" s="10">
        <v>50895</v>
      </c>
    </row>
    <row r="635" spans="1:1" x14ac:dyDescent="0.2">
      <c r="A635" s="10">
        <v>50927</v>
      </c>
    </row>
    <row r="636" spans="1:1" x14ac:dyDescent="0.2">
      <c r="A636" s="10">
        <v>50997</v>
      </c>
    </row>
    <row r="637" spans="1:1" x14ac:dyDescent="0.2">
      <c r="A637" s="10">
        <v>51046</v>
      </c>
    </row>
    <row r="638" spans="1:1" x14ac:dyDescent="0.2">
      <c r="A638" s="10">
        <v>51047</v>
      </c>
    </row>
    <row r="639" spans="1:1" x14ac:dyDescent="0.2">
      <c r="A639" s="10">
        <v>51048</v>
      </c>
    </row>
    <row r="640" spans="1:1" x14ac:dyDescent="0.2">
      <c r="A640" s="10">
        <v>51053</v>
      </c>
    </row>
    <row r="641" spans="1:1" x14ac:dyDescent="0.2">
      <c r="A641" s="10">
        <v>51130</v>
      </c>
    </row>
    <row r="642" spans="1:1" x14ac:dyDescent="0.2">
      <c r="A642" s="10">
        <v>51179</v>
      </c>
    </row>
    <row r="643" spans="1:1" x14ac:dyDescent="0.2">
      <c r="A643" s="10">
        <v>51180</v>
      </c>
    </row>
    <row r="644" spans="1:1" x14ac:dyDescent="0.2">
      <c r="A644" s="10">
        <v>51196</v>
      </c>
    </row>
    <row r="645" spans="1:1" x14ac:dyDescent="0.2">
      <c r="A645" s="10">
        <v>51237</v>
      </c>
    </row>
    <row r="646" spans="1:1" x14ac:dyDescent="0.2">
      <c r="A646" s="10">
        <v>51257</v>
      </c>
    </row>
    <row r="647" spans="1:1" x14ac:dyDescent="0.2">
      <c r="A647" s="10">
        <v>51263</v>
      </c>
    </row>
    <row r="648" spans="1:1" x14ac:dyDescent="0.2">
      <c r="A648" s="10">
        <v>51274</v>
      </c>
    </row>
    <row r="649" spans="1:1" x14ac:dyDescent="0.2">
      <c r="A649" s="10">
        <v>51293</v>
      </c>
    </row>
    <row r="650" spans="1:1" x14ac:dyDescent="0.2">
      <c r="A650" s="10">
        <v>51363</v>
      </c>
    </row>
    <row r="651" spans="1:1" x14ac:dyDescent="0.2">
      <c r="A651" s="10">
        <v>51399</v>
      </c>
    </row>
    <row r="652" spans="1:1" x14ac:dyDescent="0.2">
      <c r="A652" s="10">
        <v>51400</v>
      </c>
    </row>
    <row r="653" spans="1:1" x14ac:dyDescent="0.2">
      <c r="A653" s="10">
        <v>51412</v>
      </c>
    </row>
    <row r="654" spans="1:1" x14ac:dyDescent="0.2">
      <c r="A654" s="10">
        <v>51418</v>
      </c>
    </row>
    <row r="655" spans="1:1" x14ac:dyDescent="0.2">
      <c r="A655" s="10">
        <v>51495</v>
      </c>
    </row>
    <row r="656" spans="1:1" x14ac:dyDescent="0.2">
      <c r="A656" s="10">
        <v>51502</v>
      </c>
    </row>
    <row r="657" spans="1:1" x14ac:dyDescent="0.2">
      <c r="A657" s="10">
        <v>51532</v>
      </c>
    </row>
    <row r="658" spans="1:1" x14ac:dyDescent="0.2">
      <c r="A658" s="10">
        <v>51533</v>
      </c>
    </row>
    <row r="659" spans="1:1" x14ac:dyDescent="0.2">
      <c r="A659" s="10">
        <v>51561</v>
      </c>
    </row>
    <row r="660" spans="1:1" x14ac:dyDescent="0.2">
      <c r="A660" s="10">
        <v>51622</v>
      </c>
    </row>
    <row r="661" spans="1:1" x14ac:dyDescent="0.2">
      <c r="A661" s="10">
        <v>51627</v>
      </c>
    </row>
    <row r="662" spans="1:1" x14ac:dyDescent="0.2">
      <c r="A662" s="10">
        <v>51628</v>
      </c>
    </row>
    <row r="663" spans="1:1" x14ac:dyDescent="0.2">
      <c r="A663" s="10">
        <v>51658</v>
      </c>
    </row>
    <row r="664" spans="1:1" x14ac:dyDescent="0.2">
      <c r="A664" s="10">
        <v>51728</v>
      </c>
    </row>
    <row r="665" spans="1:1" x14ac:dyDescent="0.2">
      <c r="A665" s="10">
        <v>51753</v>
      </c>
    </row>
    <row r="666" spans="1:1" x14ac:dyDescent="0.2">
      <c r="A666" s="10">
        <v>51754</v>
      </c>
    </row>
    <row r="667" spans="1:1" x14ac:dyDescent="0.2">
      <c r="A667" s="10">
        <v>51755</v>
      </c>
    </row>
    <row r="668" spans="1:1" x14ac:dyDescent="0.2">
      <c r="A668" s="10">
        <v>51777</v>
      </c>
    </row>
    <row r="669" spans="1:1" x14ac:dyDescent="0.2">
      <c r="A669" s="10">
        <v>51783</v>
      </c>
    </row>
    <row r="670" spans="1:1" x14ac:dyDescent="0.2">
      <c r="A670" s="10">
        <v>51860</v>
      </c>
    </row>
    <row r="671" spans="1:1" x14ac:dyDescent="0.2">
      <c r="A671" s="10">
        <v>51867</v>
      </c>
    </row>
    <row r="672" spans="1:1" x14ac:dyDescent="0.2">
      <c r="A672" s="10">
        <v>51887</v>
      </c>
    </row>
    <row r="673" spans="1:1" x14ac:dyDescent="0.2">
      <c r="A673" s="10">
        <v>51888</v>
      </c>
    </row>
    <row r="674" spans="1:1" x14ac:dyDescent="0.2">
      <c r="A674" s="10">
        <v>51889</v>
      </c>
    </row>
    <row r="675" spans="1:1" x14ac:dyDescent="0.2">
      <c r="A675" s="10">
        <v>51928</v>
      </c>
    </row>
    <row r="676" spans="1:1" x14ac:dyDescent="0.2">
      <c r="A676" s="10">
        <v>51930</v>
      </c>
    </row>
    <row r="677" spans="1:1" x14ac:dyDescent="0.2">
      <c r="A677" s="10">
        <v>51987</v>
      </c>
    </row>
    <row r="678" spans="1:1" x14ac:dyDescent="0.2">
      <c r="A678" s="10">
        <v>51991</v>
      </c>
    </row>
    <row r="679" spans="1:1" x14ac:dyDescent="0.2">
      <c r="A679" s="10">
        <v>52012</v>
      </c>
    </row>
    <row r="680" spans="1:1" x14ac:dyDescent="0.2">
      <c r="A680" s="10">
        <v>52021</v>
      </c>
    </row>
    <row r="681" spans="1:1" x14ac:dyDescent="0.2">
      <c r="A681" s="10">
        <v>52023</v>
      </c>
    </row>
    <row r="682" spans="1:1" x14ac:dyDescent="0.2">
      <c r="A682" s="10">
        <v>52093</v>
      </c>
    </row>
    <row r="683" spans="1:1" x14ac:dyDescent="0.2">
      <c r="A683" s="10">
        <v>52138</v>
      </c>
    </row>
    <row r="684" spans="1:1" x14ac:dyDescent="0.2">
      <c r="A684" s="10">
        <v>52139</v>
      </c>
    </row>
    <row r="685" spans="1:1" x14ac:dyDescent="0.2">
      <c r="A685" s="10">
        <v>52142</v>
      </c>
    </row>
    <row r="686" spans="1:1" x14ac:dyDescent="0.2">
      <c r="A686" s="10">
        <v>52148</v>
      </c>
    </row>
    <row r="687" spans="1:1" x14ac:dyDescent="0.2">
      <c r="A687" s="10">
        <v>52225</v>
      </c>
    </row>
    <row r="688" spans="1:1" x14ac:dyDescent="0.2">
      <c r="A688" s="10">
        <v>52232</v>
      </c>
    </row>
    <row r="689" spans="1:1" x14ac:dyDescent="0.2">
      <c r="A689" s="10">
        <v>52271</v>
      </c>
    </row>
    <row r="690" spans="1:1" x14ac:dyDescent="0.2">
      <c r="A690" s="10">
        <v>52272</v>
      </c>
    </row>
    <row r="691" spans="1:1" x14ac:dyDescent="0.2">
      <c r="A691" s="10">
        <v>52273</v>
      </c>
    </row>
    <row r="692" spans="1:1" x14ac:dyDescent="0.2">
      <c r="A692" s="10">
        <v>52292</v>
      </c>
    </row>
    <row r="693" spans="1:1" x14ac:dyDescent="0.2">
      <c r="A693" s="10">
        <v>52352</v>
      </c>
    </row>
    <row r="694" spans="1:1" x14ac:dyDescent="0.2">
      <c r="A694" s="10">
        <v>52356</v>
      </c>
    </row>
    <row r="695" spans="1:1" x14ac:dyDescent="0.2">
      <c r="A695" s="10">
        <v>52369</v>
      </c>
    </row>
    <row r="696" spans="1:1" x14ac:dyDescent="0.2">
      <c r="A696" s="10">
        <v>52460</v>
      </c>
    </row>
    <row r="697" spans="1:1" x14ac:dyDescent="0.2">
      <c r="A697" s="10">
        <v>52490</v>
      </c>
    </row>
    <row r="698" spans="1:1" x14ac:dyDescent="0.2">
      <c r="A698" s="10">
        <v>52491</v>
      </c>
    </row>
    <row r="699" spans="1:1" x14ac:dyDescent="0.2">
      <c r="A699" s="10">
        <v>52492</v>
      </c>
    </row>
    <row r="700" spans="1:1" x14ac:dyDescent="0.2">
      <c r="A700" s="10">
        <v>52509</v>
      </c>
    </row>
    <row r="701" spans="1:1" x14ac:dyDescent="0.2">
      <c r="A701" s="10">
        <v>52513</v>
      </c>
    </row>
    <row r="702" spans="1:1" x14ac:dyDescent="0.2">
      <c r="A702" s="10">
        <v>52590</v>
      </c>
    </row>
    <row r="703" spans="1:1" x14ac:dyDescent="0.2">
      <c r="A703" s="10">
        <v>52597</v>
      </c>
    </row>
    <row r="704" spans="1:1" x14ac:dyDescent="0.2">
      <c r="A704" s="10">
        <v>52625</v>
      </c>
    </row>
    <row r="705" spans="1:1" x14ac:dyDescent="0.2">
      <c r="A705" s="10">
        <v>52628</v>
      </c>
    </row>
    <row r="706" spans="1:1" x14ac:dyDescent="0.2">
      <c r="A706" s="10">
        <v>52657</v>
      </c>
    </row>
    <row r="707" spans="1:1" x14ac:dyDescent="0.2">
      <c r="A707" s="10">
        <v>52700</v>
      </c>
    </row>
    <row r="708" spans="1:1" x14ac:dyDescent="0.2">
      <c r="A708" s="10">
        <v>52722</v>
      </c>
    </row>
    <row r="709" spans="1:1" x14ac:dyDescent="0.2">
      <c r="A709" s="10">
        <v>52723</v>
      </c>
    </row>
    <row r="710" spans="1:1" x14ac:dyDescent="0.2">
      <c r="A710" s="10">
        <v>52754</v>
      </c>
    </row>
    <row r="711" spans="1:1" x14ac:dyDescent="0.2">
      <c r="A711" s="10">
        <v>52824</v>
      </c>
    </row>
    <row r="712" spans="1:1" x14ac:dyDescent="0.2">
      <c r="A712" s="10">
        <v>52873</v>
      </c>
    </row>
    <row r="713" spans="1:1" x14ac:dyDescent="0.2">
      <c r="A713" s="10">
        <v>52874</v>
      </c>
    </row>
    <row r="714" spans="1:1" x14ac:dyDescent="0.2">
      <c r="A714" s="10">
        <v>52875</v>
      </c>
    </row>
    <row r="715" spans="1:1" x14ac:dyDescent="0.2">
      <c r="A715" s="10">
        <v>52876</v>
      </c>
    </row>
    <row r="716" spans="1:1" x14ac:dyDescent="0.2">
      <c r="A716" s="10">
        <v>52880</v>
      </c>
    </row>
    <row r="717" spans="1:1" x14ac:dyDescent="0.2">
      <c r="A717" s="10">
        <v>52957</v>
      </c>
    </row>
    <row r="718" spans="1:1" x14ac:dyDescent="0.2">
      <c r="A718" s="10">
        <v>53009</v>
      </c>
    </row>
    <row r="719" spans="1:1" x14ac:dyDescent="0.2">
      <c r="A719" s="10">
        <v>53010</v>
      </c>
    </row>
    <row r="720" spans="1:1" x14ac:dyDescent="0.2">
      <c r="A720" s="10">
        <v>53022</v>
      </c>
    </row>
    <row r="721" spans="1:1" x14ac:dyDescent="0.2">
      <c r="A721" s="10">
        <v>53083</v>
      </c>
    </row>
    <row r="722" spans="1:1" x14ac:dyDescent="0.2">
      <c r="A722" s="10">
        <v>53087</v>
      </c>
    </row>
    <row r="723" spans="1:1" x14ac:dyDescent="0.2">
      <c r="A723" s="10">
        <v>53106</v>
      </c>
    </row>
    <row r="724" spans="1:1" x14ac:dyDescent="0.2">
      <c r="A724" s="10">
        <v>53119</v>
      </c>
    </row>
    <row r="725" spans="1:1" x14ac:dyDescent="0.2">
      <c r="A725" s="10">
        <v>53189</v>
      </c>
    </row>
    <row r="726" spans="1:1" x14ac:dyDescent="0.2">
      <c r="A726" s="10">
        <v>53230</v>
      </c>
    </row>
    <row r="727" spans="1:1" x14ac:dyDescent="0.2">
      <c r="A727" s="10">
        <v>53231</v>
      </c>
    </row>
    <row r="728" spans="1:1" x14ac:dyDescent="0.2">
      <c r="A728" s="10">
        <v>53232</v>
      </c>
    </row>
    <row r="729" spans="1:1" x14ac:dyDescent="0.2">
      <c r="A729" s="10">
        <v>53238</v>
      </c>
    </row>
    <row r="730" spans="1:1" x14ac:dyDescent="0.2">
      <c r="A730" s="10">
        <v>53244</v>
      </c>
    </row>
    <row r="731" spans="1:1" x14ac:dyDescent="0.2">
      <c r="A731" s="10">
        <v>53321</v>
      </c>
    </row>
    <row r="732" spans="1:1" x14ac:dyDescent="0.2">
      <c r="A732" s="10">
        <v>53328</v>
      </c>
    </row>
    <row r="733" spans="1:1" x14ac:dyDescent="0.2">
      <c r="A733" s="10">
        <v>53363</v>
      </c>
    </row>
    <row r="734" spans="1:1" x14ac:dyDescent="0.2">
      <c r="A734" s="10">
        <v>53364</v>
      </c>
    </row>
    <row r="735" spans="1:1" x14ac:dyDescent="0.2">
      <c r="A735" s="10">
        <v>53365</v>
      </c>
    </row>
    <row r="736" spans="1:1" x14ac:dyDescent="0.2">
      <c r="A736" s="10">
        <v>53387</v>
      </c>
    </row>
    <row r="737" spans="1:1" x14ac:dyDescent="0.2">
      <c r="A737" s="10">
        <v>53448</v>
      </c>
    </row>
    <row r="738" spans="1:1" x14ac:dyDescent="0.2">
      <c r="A738" s="10">
        <v>53454</v>
      </c>
    </row>
    <row r="739" spans="1:1" x14ac:dyDescent="0.2">
      <c r="A739" s="10">
        <v>53461</v>
      </c>
    </row>
    <row r="740" spans="1:1" x14ac:dyDescent="0.2">
      <c r="A740" s="10">
        <v>53484</v>
      </c>
    </row>
    <row r="741" spans="1:1" x14ac:dyDescent="0.2">
      <c r="A741" s="10">
        <v>53491</v>
      </c>
    </row>
    <row r="742" spans="1:1" x14ac:dyDescent="0.2">
      <c r="A742" s="10">
        <v>53554</v>
      </c>
    </row>
    <row r="743" spans="1:1" x14ac:dyDescent="0.2">
      <c r="A743" s="10">
        <v>53584</v>
      </c>
    </row>
    <row r="744" spans="1:1" x14ac:dyDescent="0.2">
      <c r="A744" s="10">
        <v>53587</v>
      </c>
    </row>
    <row r="745" spans="1:1" x14ac:dyDescent="0.2">
      <c r="A745" s="10">
        <v>53603</v>
      </c>
    </row>
    <row r="746" spans="1:1" x14ac:dyDescent="0.2">
      <c r="A746" s="10">
        <v>53609</v>
      </c>
    </row>
    <row r="747" spans="1:1" x14ac:dyDescent="0.2">
      <c r="A747" s="10">
        <v>53686</v>
      </c>
    </row>
    <row r="748" spans="1:1" x14ac:dyDescent="0.2">
      <c r="A748" s="10">
        <v>53693</v>
      </c>
    </row>
    <row r="749" spans="1:1" x14ac:dyDescent="0.2">
      <c r="A749" s="10">
        <v>53717</v>
      </c>
    </row>
    <row r="750" spans="1:1" x14ac:dyDescent="0.2">
      <c r="A750" s="10">
        <v>53720</v>
      </c>
    </row>
    <row r="751" spans="1:1" x14ac:dyDescent="0.2">
      <c r="A751" s="10">
        <v>53752</v>
      </c>
    </row>
    <row r="752" spans="1:1" x14ac:dyDescent="0.2">
      <c r="A752" s="10">
        <v>53757</v>
      </c>
    </row>
    <row r="753" spans="1:1" x14ac:dyDescent="0.2">
      <c r="A753" s="10">
        <v>53813</v>
      </c>
    </row>
    <row r="754" spans="1:1" x14ac:dyDescent="0.2">
      <c r="A754" s="10">
        <v>53814</v>
      </c>
    </row>
    <row r="755" spans="1:1" x14ac:dyDescent="0.2">
      <c r="A755" s="10">
        <v>53818</v>
      </c>
    </row>
    <row r="756" spans="1:1" x14ac:dyDescent="0.2">
      <c r="A756" s="10">
        <v>53849</v>
      </c>
    </row>
    <row r="757" spans="1:1" x14ac:dyDescent="0.2">
      <c r="A757" s="10">
        <v>53919</v>
      </c>
    </row>
    <row r="758" spans="1:1" x14ac:dyDescent="0.2">
      <c r="A758" s="10">
        <v>53968</v>
      </c>
    </row>
    <row r="759" spans="1:1" x14ac:dyDescent="0.2">
      <c r="A759" s="10">
        <v>53969</v>
      </c>
    </row>
    <row r="760" spans="1:1" x14ac:dyDescent="0.2">
      <c r="A760" s="10">
        <v>53972</v>
      </c>
    </row>
    <row r="761" spans="1:1" x14ac:dyDescent="0.2">
      <c r="A761" s="10">
        <v>53974</v>
      </c>
    </row>
    <row r="762" spans="1:1" x14ac:dyDescent="0.2">
      <c r="A762" s="10">
        <v>54051</v>
      </c>
    </row>
    <row r="763" spans="1:1" x14ac:dyDescent="0.2">
      <c r="A763" s="10">
        <v>54058</v>
      </c>
    </row>
    <row r="764" spans="1:1" x14ac:dyDescent="0.2">
      <c r="A764" s="10">
        <v>54101</v>
      </c>
    </row>
    <row r="765" spans="1:1" x14ac:dyDescent="0.2">
      <c r="A765" s="10">
        <v>54102</v>
      </c>
    </row>
    <row r="766" spans="1:1" x14ac:dyDescent="0.2">
      <c r="A766" s="10">
        <v>54119</v>
      </c>
    </row>
    <row r="767" spans="1:1" x14ac:dyDescent="0.2">
      <c r="A767" s="10">
        <v>54163</v>
      </c>
    </row>
    <row r="768" spans="1:1" x14ac:dyDescent="0.2">
      <c r="A768" s="10">
        <v>54179</v>
      </c>
    </row>
    <row r="769" spans="1:1" x14ac:dyDescent="0.2">
      <c r="A769" s="10">
        <v>54183</v>
      </c>
    </row>
    <row r="770" spans="1:1" x14ac:dyDescent="0.2">
      <c r="A770" s="10">
        <v>54198</v>
      </c>
    </row>
    <row r="771" spans="1:1" x14ac:dyDescent="0.2">
      <c r="A771" s="10">
        <v>54287</v>
      </c>
    </row>
    <row r="772" spans="1:1" x14ac:dyDescent="0.2">
      <c r="A772" s="10">
        <v>54322</v>
      </c>
    </row>
    <row r="773" spans="1:1" x14ac:dyDescent="0.2">
      <c r="A773" s="10">
        <v>54323</v>
      </c>
    </row>
    <row r="774" spans="1:1" x14ac:dyDescent="0.2">
      <c r="A774" s="10">
        <v>54324</v>
      </c>
    </row>
    <row r="775" spans="1:1" x14ac:dyDescent="0.2">
      <c r="A775" s="10">
        <v>54336</v>
      </c>
    </row>
    <row r="776" spans="1:1" x14ac:dyDescent="0.2">
      <c r="A776" s="10">
        <v>54340</v>
      </c>
    </row>
    <row r="777" spans="1:1" x14ac:dyDescent="0.2">
      <c r="A777" s="10">
        <v>54417</v>
      </c>
    </row>
    <row r="778" spans="1:1" x14ac:dyDescent="0.2">
      <c r="A778" s="10">
        <v>54424</v>
      </c>
    </row>
    <row r="779" spans="1:1" x14ac:dyDescent="0.2">
      <c r="A779" s="10">
        <v>54455</v>
      </c>
    </row>
    <row r="780" spans="1:1" x14ac:dyDescent="0.2">
      <c r="A780" s="10">
        <v>54456</v>
      </c>
    </row>
    <row r="781" spans="1:1" x14ac:dyDescent="0.2">
      <c r="A781" s="10">
        <v>54457</v>
      </c>
    </row>
    <row r="782" spans="1:1" x14ac:dyDescent="0.2">
      <c r="A782" s="10">
        <v>54483</v>
      </c>
    </row>
    <row r="783" spans="1:1" x14ac:dyDescent="0.2">
      <c r="A783" s="10">
        <v>54548</v>
      </c>
    </row>
    <row r="784" spans="1:1" x14ac:dyDescent="0.2">
      <c r="A784" s="10">
        <v>54553</v>
      </c>
    </row>
    <row r="785" spans="1:1" x14ac:dyDescent="0.2">
      <c r="A785" s="10">
        <v>54651</v>
      </c>
    </row>
    <row r="786" spans="1:1" x14ac:dyDescent="0.2">
      <c r="A786" s="10">
        <v>54676</v>
      </c>
    </row>
    <row r="787" spans="1:1" x14ac:dyDescent="0.2">
      <c r="A787" s="10">
        <v>54679</v>
      </c>
    </row>
    <row r="788" spans="1:1" x14ac:dyDescent="0.2">
      <c r="A788" s="10">
        <v>54700</v>
      </c>
    </row>
    <row r="789" spans="1:1" x14ac:dyDescent="0.2">
      <c r="A789" s="10">
        <v>54707</v>
      </c>
    </row>
    <row r="790" spans="1:1" x14ac:dyDescent="0.2">
      <c r="A790" s="10">
        <v>54784</v>
      </c>
    </row>
    <row r="791" spans="1:1" x14ac:dyDescent="0.2">
      <c r="A791" s="10">
        <v>54812</v>
      </c>
    </row>
    <row r="792" spans="1:1" x14ac:dyDescent="0.2">
      <c r="A792" s="10">
        <v>54813</v>
      </c>
    </row>
    <row r="793" spans="1:1" x14ac:dyDescent="0.2">
      <c r="A793" s="10">
        <v>54848</v>
      </c>
    </row>
    <row r="794" spans="1:1" x14ac:dyDescent="0.2">
      <c r="A794" s="10">
        <v>54913</v>
      </c>
    </row>
    <row r="795" spans="1:1" x14ac:dyDescent="0.2">
      <c r="A795" s="10">
        <v>54938</v>
      </c>
    </row>
    <row r="796" spans="1:1" x14ac:dyDescent="0.2">
      <c r="A796" s="10">
        <v>54940</v>
      </c>
    </row>
    <row r="797" spans="1:1" x14ac:dyDescent="0.2">
      <c r="A797" s="10">
        <v>54945</v>
      </c>
    </row>
    <row r="798" spans="1:1" x14ac:dyDescent="0.2">
      <c r="A798" s="10">
        <v>55015</v>
      </c>
    </row>
    <row r="799" spans="1:1" x14ac:dyDescent="0.2">
      <c r="A799" s="10">
        <v>55060</v>
      </c>
    </row>
    <row r="800" spans="1:1" x14ac:dyDescent="0.2">
      <c r="A800" s="10">
        <v>55061</v>
      </c>
    </row>
    <row r="801" spans="1:1" x14ac:dyDescent="0.2">
      <c r="A801" s="10">
        <v>55064</v>
      </c>
    </row>
    <row r="802" spans="1:1" x14ac:dyDescent="0.2">
      <c r="A802" s="10">
        <v>55071</v>
      </c>
    </row>
    <row r="803" spans="1:1" x14ac:dyDescent="0.2">
      <c r="A803" s="10">
        <v>55148</v>
      </c>
    </row>
    <row r="804" spans="1:1" x14ac:dyDescent="0.2">
      <c r="A804" s="10">
        <v>55194</v>
      </c>
    </row>
    <row r="805" spans="1:1" x14ac:dyDescent="0.2">
      <c r="A805" s="10">
        <v>55197</v>
      </c>
    </row>
    <row r="806" spans="1:1" x14ac:dyDescent="0.2">
      <c r="A806" s="10">
        <v>55213</v>
      </c>
    </row>
    <row r="807" spans="1:1" x14ac:dyDescent="0.2">
      <c r="A807" s="10">
        <v>55274</v>
      </c>
    </row>
    <row r="808" spans="1:1" x14ac:dyDescent="0.2">
      <c r="A808" s="10">
        <v>55278</v>
      </c>
    </row>
    <row r="809" spans="1:1" x14ac:dyDescent="0.2">
      <c r="A809" s="10">
        <v>55290</v>
      </c>
    </row>
    <row r="810" spans="1:1" x14ac:dyDescent="0.2">
      <c r="A810" s="10">
        <v>55310</v>
      </c>
    </row>
    <row r="811" spans="1:1" x14ac:dyDescent="0.2">
      <c r="A811" s="10">
        <v>55380</v>
      </c>
    </row>
    <row r="812" spans="1:1" x14ac:dyDescent="0.2">
      <c r="A812" s="10">
        <v>55414</v>
      </c>
    </row>
    <row r="813" spans="1:1" x14ac:dyDescent="0.2">
      <c r="A813" s="10">
        <v>55415</v>
      </c>
    </row>
    <row r="814" spans="1:1" x14ac:dyDescent="0.2">
      <c r="A814" s="10">
        <v>55416</v>
      </c>
    </row>
    <row r="815" spans="1:1" x14ac:dyDescent="0.2">
      <c r="A815" s="10">
        <v>55429</v>
      </c>
    </row>
    <row r="816" spans="1:1" x14ac:dyDescent="0.2">
      <c r="A816" s="10">
        <v>55435</v>
      </c>
    </row>
    <row r="817" spans="1:1" x14ac:dyDescent="0.2">
      <c r="A817" s="10">
        <v>55512</v>
      </c>
    </row>
    <row r="818" spans="1:1" x14ac:dyDescent="0.2">
      <c r="A818" s="10">
        <v>55519</v>
      </c>
    </row>
    <row r="819" spans="1:1" x14ac:dyDescent="0.2">
      <c r="A819" s="10">
        <v>55549</v>
      </c>
    </row>
    <row r="820" spans="1:1" x14ac:dyDescent="0.2">
      <c r="A820" s="10">
        <v>55550</v>
      </c>
    </row>
    <row r="821" spans="1:1" x14ac:dyDescent="0.2">
      <c r="A821" s="10">
        <v>55551</v>
      </c>
    </row>
    <row r="822" spans="1:1" x14ac:dyDescent="0.2">
      <c r="A822" s="10">
        <v>55579</v>
      </c>
    </row>
    <row r="823" spans="1:1" x14ac:dyDescent="0.2">
      <c r="A823" s="10">
        <v>55584</v>
      </c>
    </row>
    <row r="824" spans="1:1" x14ac:dyDescent="0.2">
      <c r="A824" s="10">
        <v>55619</v>
      </c>
    </row>
    <row r="825" spans="1:1" x14ac:dyDescent="0.2">
      <c r="A825" s="10">
        <v>55640</v>
      </c>
    </row>
    <row r="826" spans="1:1" x14ac:dyDescent="0.2">
      <c r="A826" s="10">
        <v>55645</v>
      </c>
    </row>
    <row r="827" spans="1:1" x14ac:dyDescent="0.2">
      <c r="A827" s="10">
        <v>55646</v>
      </c>
    </row>
    <row r="828" spans="1:1" x14ac:dyDescent="0.2">
      <c r="A828" s="10">
        <v>55676</v>
      </c>
    </row>
    <row r="829" spans="1:1" x14ac:dyDescent="0.2">
      <c r="A829" s="10">
        <v>55746</v>
      </c>
    </row>
    <row r="830" spans="1:1" x14ac:dyDescent="0.2">
      <c r="A830" s="10">
        <v>55768</v>
      </c>
    </row>
    <row r="831" spans="1:1" x14ac:dyDescent="0.2">
      <c r="A831" s="10">
        <v>55771</v>
      </c>
    </row>
    <row r="832" spans="1:1" x14ac:dyDescent="0.2">
      <c r="A832" s="10">
        <v>55795</v>
      </c>
    </row>
    <row r="833" spans="1:1" x14ac:dyDescent="0.2">
      <c r="A833" s="10">
        <v>55801</v>
      </c>
    </row>
    <row r="834" spans="1:1" x14ac:dyDescent="0.2">
      <c r="A834" s="10">
        <v>55878</v>
      </c>
    </row>
    <row r="835" spans="1:1" x14ac:dyDescent="0.2">
      <c r="A835" s="10">
        <v>55885</v>
      </c>
    </row>
    <row r="836" spans="1:1" x14ac:dyDescent="0.2">
      <c r="A836" s="10">
        <v>55933</v>
      </c>
    </row>
    <row r="837" spans="1:1" x14ac:dyDescent="0.2">
      <c r="A837" s="10">
        <v>55934</v>
      </c>
    </row>
    <row r="838" spans="1:1" x14ac:dyDescent="0.2">
      <c r="A838" s="10">
        <v>55935</v>
      </c>
    </row>
    <row r="839" spans="1:1" x14ac:dyDescent="0.2">
      <c r="A839" s="10">
        <v>55946</v>
      </c>
    </row>
    <row r="840" spans="1:1" x14ac:dyDescent="0.2">
      <c r="A840" s="10">
        <v>56005</v>
      </c>
    </row>
    <row r="841" spans="1:1" x14ac:dyDescent="0.2">
      <c r="A841" s="10">
        <v>56009</v>
      </c>
    </row>
    <row r="842" spans="1:1" x14ac:dyDescent="0.2">
      <c r="A842" s="10">
        <v>56030</v>
      </c>
    </row>
    <row r="843" spans="1:1" x14ac:dyDescent="0.2">
      <c r="A843" s="10">
        <v>56041</v>
      </c>
    </row>
    <row r="844" spans="1:1" x14ac:dyDescent="0.2">
      <c r="A844" s="10">
        <v>56111</v>
      </c>
    </row>
    <row r="845" spans="1:1" x14ac:dyDescent="0.2">
      <c r="A845" s="10">
        <v>56152</v>
      </c>
    </row>
    <row r="846" spans="1:1" x14ac:dyDescent="0.2">
      <c r="A846" s="10">
        <v>56153</v>
      </c>
    </row>
    <row r="847" spans="1:1" x14ac:dyDescent="0.2">
      <c r="A847" s="10">
        <v>56160</v>
      </c>
    </row>
    <row r="848" spans="1:1" x14ac:dyDescent="0.2">
      <c r="A848" s="10">
        <v>56166</v>
      </c>
    </row>
    <row r="849" spans="1:1" x14ac:dyDescent="0.2">
      <c r="A849" s="10">
        <v>56243</v>
      </c>
    </row>
    <row r="850" spans="1:1" x14ac:dyDescent="0.2">
      <c r="A850" s="10">
        <v>56250</v>
      </c>
    </row>
    <row r="851" spans="1:1" x14ac:dyDescent="0.2">
      <c r="A851" s="10">
        <v>56289</v>
      </c>
    </row>
    <row r="852" spans="1:1" x14ac:dyDescent="0.2">
      <c r="A852" s="10">
        <v>56290</v>
      </c>
    </row>
    <row r="853" spans="1:1" x14ac:dyDescent="0.2">
      <c r="A853" s="10">
        <v>56310</v>
      </c>
    </row>
    <row r="854" spans="1:1" x14ac:dyDescent="0.2">
      <c r="A854" s="10">
        <v>56370</v>
      </c>
    </row>
    <row r="855" spans="1:1" x14ac:dyDescent="0.2">
      <c r="A855" s="10">
        <v>56374</v>
      </c>
    </row>
    <row r="856" spans="1:1" x14ac:dyDescent="0.2">
      <c r="A856" s="10">
        <v>56384</v>
      </c>
    </row>
    <row r="857" spans="1:1" x14ac:dyDescent="0.2">
      <c r="A857" s="10">
        <v>56403</v>
      </c>
    </row>
    <row r="858" spans="1:1" x14ac:dyDescent="0.2">
      <c r="A858" s="10">
        <v>56478</v>
      </c>
    </row>
    <row r="859" spans="1:1" x14ac:dyDescent="0.2">
      <c r="A859" s="10">
        <v>56507</v>
      </c>
    </row>
    <row r="860" spans="1:1" x14ac:dyDescent="0.2">
      <c r="A860" s="10">
        <v>56508</v>
      </c>
    </row>
    <row r="861" spans="1:1" x14ac:dyDescent="0.2">
      <c r="A861" s="10">
        <v>56509</v>
      </c>
    </row>
    <row r="862" spans="1:1" x14ac:dyDescent="0.2">
      <c r="A862" s="10">
        <v>56527</v>
      </c>
    </row>
    <row r="863" spans="1:1" x14ac:dyDescent="0.2">
      <c r="A863" s="10">
        <v>56531</v>
      </c>
    </row>
    <row r="864" spans="1:1" x14ac:dyDescent="0.2">
      <c r="A864" s="11">
        <v>56608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7C4F3-8651-4317-8C9B-F57B37CC3810}">
  <dimension ref="A1:I16"/>
  <sheetViews>
    <sheetView workbookViewId="0">
      <selection activeCell="A2" sqref="A2:A14"/>
    </sheetView>
  </sheetViews>
  <sheetFormatPr defaultRowHeight="16.5" x14ac:dyDescent="0.3"/>
  <cols>
    <col min="2" max="2" width="22.625" bestFit="1" customWidth="1"/>
    <col min="3" max="4" width="27" customWidth="1"/>
    <col min="5" max="5" width="17" customWidth="1"/>
    <col min="6" max="6" width="32" customWidth="1"/>
    <col min="7" max="7" width="23.25" customWidth="1"/>
    <col min="8" max="8" width="16.875" customWidth="1"/>
    <col min="9" max="9" width="14.625" customWidth="1"/>
  </cols>
  <sheetData>
    <row r="1" spans="1:9" x14ac:dyDescent="0.25">
      <c r="A1" s="33" t="s">
        <v>1535</v>
      </c>
      <c r="B1" s="33" t="s">
        <v>1536</v>
      </c>
      <c r="C1" s="33" t="s">
        <v>1537</v>
      </c>
      <c r="D1" s="33" t="s">
        <v>1538</v>
      </c>
      <c r="E1" s="33" t="s">
        <v>1539</v>
      </c>
      <c r="F1" s="33" t="s">
        <v>1536</v>
      </c>
      <c r="G1" s="33" t="s">
        <v>1540</v>
      </c>
      <c r="H1" s="33" t="s">
        <v>1541</v>
      </c>
      <c r="I1" s="33" t="s">
        <v>1542</v>
      </c>
    </row>
    <row r="2" spans="1:9" x14ac:dyDescent="0.3">
      <c r="A2" s="18" t="s">
        <v>1543</v>
      </c>
      <c r="B2" s="18" t="s">
        <v>1544</v>
      </c>
      <c r="C2" s="18" t="s">
        <v>1545</v>
      </c>
      <c r="D2" s="18">
        <v>101.051</v>
      </c>
      <c r="E2" s="18">
        <v>3.4129999999999998</v>
      </c>
      <c r="F2" s="18" t="s">
        <v>1546</v>
      </c>
      <c r="G2" s="18" t="s">
        <v>1546</v>
      </c>
      <c r="H2" s="35">
        <v>3.57</v>
      </c>
      <c r="I2" s="18">
        <v>15.7</v>
      </c>
    </row>
    <row r="3" spans="1:9" x14ac:dyDescent="0.3">
      <c r="A3" s="18" t="s">
        <v>1547</v>
      </c>
      <c r="B3" s="18" t="s">
        <v>1548</v>
      </c>
      <c r="C3" s="18" t="s">
        <v>1549</v>
      </c>
      <c r="D3" s="18">
        <v>100.292</v>
      </c>
      <c r="E3" s="18">
        <v>3.48</v>
      </c>
      <c r="F3" s="18" t="s">
        <v>1550</v>
      </c>
      <c r="G3" s="18" t="s">
        <v>1550</v>
      </c>
      <c r="H3" s="35">
        <v>3.6</v>
      </c>
      <c r="I3" s="18">
        <v>12</v>
      </c>
    </row>
    <row r="4" spans="1:9" x14ac:dyDescent="0.3">
      <c r="A4" s="18" t="s">
        <v>1551</v>
      </c>
      <c r="B4" s="18"/>
      <c r="C4" s="18"/>
      <c r="D4" s="18"/>
      <c r="E4" s="18"/>
      <c r="F4" s="18" t="s">
        <v>1552</v>
      </c>
      <c r="G4" s="18" t="s">
        <v>1552</v>
      </c>
      <c r="H4" s="35">
        <v>3.6080000000000001</v>
      </c>
      <c r="I4" s="18"/>
    </row>
    <row r="5" spans="1:9" x14ac:dyDescent="0.3">
      <c r="A5" s="18" t="s">
        <v>1553</v>
      </c>
      <c r="B5" s="18" t="s">
        <v>1554</v>
      </c>
      <c r="C5" s="18" t="s">
        <v>1555</v>
      </c>
      <c r="D5" s="18">
        <v>100.384</v>
      </c>
      <c r="E5" s="18">
        <v>3.49</v>
      </c>
      <c r="F5" s="18" t="s">
        <v>1556</v>
      </c>
      <c r="G5" s="18" t="s">
        <v>1556</v>
      </c>
      <c r="H5" s="35">
        <v>3.62</v>
      </c>
      <c r="I5" s="18">
        <v>13</v>
      </c>
    </row>
    <row r="6" spans="1:9" x14ac:dyDescent="0.3">
      <c r="A6" s="18" t="s">
        <v>1557</v>
      </c>
      <c r="B6" s="18" t="s">
        <v>1558</v>
      </c>
      <c r="C6" s="18" t="s">
        <v>1559</v>
      </c>
      <c r="D6" s="18">
        <v>99.986000000000004</v>
      </c>
      <c r="E6" s="18">
        <v>3.5169999999999999</v>
      </c>
      <c r="F6" s="18" t="s">
        <v>1560</v>
      </c>
      <c r="G6" s="18" t="s">
        <v>1560</v>
      </c>
      <c r="H6" s="35">
        <v>3.5750000000000002</v>
      </c>
      <c r="I6" s="18">
        <v>5.8</v>
      </c>
    </row>
    <row r="7" spans="1:9" x14ac:dyDescent="0.3">
      <c r="A7" s="18" t="s">
        <v>1561</v>
      </c>
      <c r="B7" s="18" t="s">
        <v>1562</v>
      </c>
      <c r="C7" s="18" t="s">
        <v>1563</v>
      </c>
      <c r="D7" s="18">
        <v>102.386</v>
      </c>
      <c r="E7" s="18">
        <v>3.524</v>
      </c>
      <c r="F7" s="18" t="s">
        <v>1564</v>
      </c>
      <c r="G7" s="18" t="s">
        <v>1564</v>
      </c>
      <c r="H7" s="35">
        <v>3.5550000000000002</v>
      </c>
      <c r="I7" s="18">
        <v>3.1</v>
      </c>
    </row>
    <row r="8" spans="1:9" x14ac:dyDescent="0.3">
      <c r="A8" s="18" t="s">
        <v>1565</v>
      </c>
      <c r="B8" s="18"/>
      <c r="C8" s="18"/>
      <c r="D8" s="18"/>
      <c r="E8" s="18"/>
      <c r="F8" s="18" t="s">
        <v>1566</v>
      </c>
      <c r="G8" s="18" t="s">
        <v>1566</v>
      </c>
      <c r="H8" s="35">
        <v>3.56</v>
      </c>
      <c r="I8" s="18"/>
    </row>
    <row r="9" spans="1:9" x14ac:dyDescent="0.3">
      <c r="A9" s="18" t="s">
        <v>1567</v>
      </c>
      <c r="B9" s="18" t="s">
        <v>1568</v>
      </c>
      <c r="C9" s="18" t="s">
        <v>1569</v>
      </c>
      <c r="D9" s="18">
        <v>98.997</v>
      </c>
      <c r="E9" s="18">
        <v>3.581</v>
      </c>
      <c r="F9" s="18" t="s">
        <v>1570</v>
      </c>
      <c r="G9" s="18" t="s">
        <v>1570</v>
      </c>
      <c r="H9" s="35">
        <v>3.55</v>
      </c>
      <c r="I9" s="18">
        <v>-3.1</v>
      </c>
    </row>
    <row r="10" spans="1:9" x14ac:dyDescent="0.3">
      <c r="A10" s="18" t="s">
        <v>1571</v>
      </c>
      <c r="B10" s="18"/>
      <c r="C10" s="18"/>
      <c r="D10" s="18"/>
      <c r="E10" s="18"/>
      <c r="F10" s="18" t="s">
        <v>1572</v>
      </c>
      <c r="G10" s="18" t="s">
        <v>1572</v>
      </c>
      <c r="H10" s="35">
        <v>3.5569999999999999</v>
      </c>
      <c r="I10" s="18"/>
    </row>
    <row r="11" spans="1:9" x14ac:dyDescent="0.3">
      <c r="A11" s="18" t="s">
        <v>1573</v>
      </c>
      <c r="B11" s="18" t="s">
        <v>1574</v>
      </c>
      <c r="C11" s="18" t="s">
        <v>1575</v>
      </c>
      <c r="D11" s="18">
        <v>105.252</v>
      </c>
      <c r="E11" s="18">
        <v>3.6720000000000002</v>
      </c>
      <c r="F11" s="18" t="s">
        <v>1576</v>
      </c>
      <c r="G11" s="18" t="s">
        <v>1576</v>
      </c>
      <c r="H11" s="35">
        <v>3.5649999999999999</v>
      </c>
      <c r="I11" s="18">
        <v>-10.7</v>
      </c>
    </row>
    <row r="12" spans="1:9" x14ac:dyDescent="0.3">
      <c r="A12" s="18" t="s">
        <v>1577</v>
      </c>
      <c r="B12" s="18"/>
      <c r="C12" s="18"/>
      <c r="D12" s="18"/>
      <c r="E12" s="18"/>
      <c r="F12" s="18" t="s">
        <v>1578</v>
      </c>
      <c r="G12" s="18" t="s">
        <v>1578</v>
      </c>
      <c r="H12" s="35">
        <v>3.5750000000000002</v>
      </c>
      <c r="I12" s="18"/>
    </row>
    <row r="13" spans="1:9" x14ac:dyDescent="0.3">
      <c r="A13" s="18" t="s">
        <v>1579</v>
      </c>
      <c r="B13" s="18"/>
      <c r="C13" s="18"/>
      <c r="D13" s="18"/>
      <c r="E13" s="18"/>
      <c r="F13" s="18" t="s">
        <v>1580</v>
      </c>
      <c r="G13" s="18" t="s">
        <v>1580</v>
      </c>
      <c r="H13" s="35">
        <v>3.57</v>
      </c>
      <c r="I13" s="18"/>
    </row>
    <row r="14" spans="1:9" x14ac:dyDescent="0.3">
      <c r="A14" s="18" t="s">
        <v>1581</v>
      </c>
      <c r="B14" s="18" t="s">
        <v>1582</v>
      </c>
      <c r="C14" s="18" t="s">
        <v>1583</v>
      </c>
      <c r="D14" s="18">
        <v>104.44</v>
      </c>
      <c r="E14" s="18">
        <v>3.5939999999999999</v>
      </c>
      <c r="F14" s="18" t="s">
        <v>1584</v>
      </c>
      <c r="G14" s="18" t="s">
        <v>1584</v>
      </c>
      <c r="H14" s="35">
        <v>3.4350000000000001</v>
      </c>
      <c r="I14" s="18">
        <v>-15.9</v>
      </c>
    </row>
    <row r="15" spans="1:9" x14ac:dyDescent="0.3">
      <c r="A15" s="18" t="s">
        <v>1585</v>
      </c>
      <c r="B15" s="18" t="s">
        <v>1586</v>
      </c>
      <c r="C15" s="18" t="s">
        <v>1587</v>
      </c>
      <c r="D15" s="18">
        <v>95.71</v>
      </c>
      <c r="E15" s="18">
        <v>3.508</v>
      </c>
      <c r="F15" s="18"/>
      <c r="G15" s="18"/>
      <c r="H15" s="18"/>
      <c r="I15" s="18"/>
    </row>
    <row r="16" spans="1:9" x14ac:dyDescent="0.3">
      <c r="A16" s="18" t="s">
        <v>1588</v>
      </c>
      <c r="B16" s="18" t="s">
        <v>1589</v>
      </c>
      <c r="C16" s="18" t="s">
        <v>1590</v>
      </c>
      <c r="D16" s="18">
        <v>100.447</v>
      </c>
      <c r="E16" s="18">
        <v>3.5009999999999999</v>
      </c>
      <c r="F16" s="18"/>
      <c r="G16" s="18"/>
      <c r="H16" s="18"/>
      <c r="I16" s="18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7525F-A5B3-4E6B-82D8-D9B97FB4AF16}">
  <sheetPr codeName="Sheet3"/>
  <dimension ref="A1:CJ82"/>
  <sheetViews>
    <sheetView topLeftCell="A10" workbookViewId="0">
      <selection activeCell="D21" sqref="D21"/>
    </sheetView>
  </sheetViews>
  <sheetFormatPr defaultRowHeight="16.5" x14ac:dyDescent="0.3"/>
  <cols>
    <col min="1" max="1" width="23.125" bestFit="1" customWidth="1"/>
    <col min="2" max="2" width="13.125" bestFit="1" customWidth="1"/>
    <col min="3" max="4" width="11.125" bestFit="1" customWidth="1"/>
    <col min="5" max="7" width="11.125" customWidth="1"/>
    <col min="8" max="8" width="11.125" bestFit="1" customWidth="1"/>
    <col min="9" max="17" width="11.25" bestFit="1" customWidth="1"/>
    <col min="18" max="87" width="9.5" bestFit="1" customWidth="1"/>
    <col min="88" max="88" width="11.25" bestFit="1" customWidth="1"/>
  </cols>
  <sheetData>
    <row r="1" spans="1:88" x14ac:dyDescent="0.3">
      <c r="A1" t="s">
        <v>0</v>
      </c>
      <c r="C1" s="1">
        <v>45419</v>
      </c>
      <c r="D1" s="1">
        <f>WORKDAY(C1,1,holiday!$A$3:$A$864)</f>
        <v>45420</v>
      </c>
      <c r="E1" s="1"/>
      <c r="F1" s="1"/>
      <c r="G1" s="1"/>
      <c r="I1">
        <v>3</v>
      </c>
      <c r="J1">
        <v>6</v>
      </c>
      <c r="K1">
        <v>9</v>
      </c>
      <c r="L1">
        <v>12</v>
      </c>
      <c r="M1">
        <v>15</v>
      </c>
      <c r="N1">
        <v>18</v>
      </c>
      <c r="O1">
        <v>21</v>
      </c>
      <c r="P1">
        <v>24</v>
      </c>
      <c r="Q1">
        <v>27</v>
      </c>
      <c r="R1">
        <v>30</v>
      </c>
      <c r="S1">
        <v>33</v>
      </c>
      <c r="T1">
        <v>36</v>
      </c>
      <c r="U1">
        <v>39</v>
      </c>
      <c r="V1">
        <v>42</v>
      </c>
      <c r="W1">
        <v>45</v>
      </c>
      <c r="X1">
        <v>48</v>
      </c>
      <c r="Y1">
        <v>51</v>
      </c>
      <c r="Z1">
        <v>54</v>
      </c>
      <c r="AA1">
        <v>57</v>
      </c>
      <c r="AB1">
        <v>60</v>
      </c>
      <c r="AC1">
        <v>63</v>
      </c>
      <c r="AD1">
        <v>66</v>
      </c>
      <c r="AE1">
        <v>69</v>
      </c>
      <c r="AF1">
        <v>72</v>
      </c>
      <c r="AG1">
        <v>75</v>
      </c>
      <c r="AH1">
        <v>78</v>
      </c>
      <c r="AI1">
        <v>81</v>
      </c>
      <c r="AJ1">
        <v>84</v>
      </c>
      <c r="AK1">
        <v>87</v>
      </c>
      <c r="AL1">
        <v>90</v>
      </c>
      <c r="AM1">
        <v>93</v>
      </c>
      <c r="AN1">
        <v>96</v>
      </c>
      <c r="AO1">
        <v>99</v>
      </c>
      <c r="AP1">
        <v>102</v>
      </c>
      <c r="AQ1">
        <v>105</v>
      </c>
      <c r="AR1">
        <v>108</v>
      </c>
      <c r="AS1">
        <v>111</v>
      </c>
      <c r="AT1">
        <v>114</v>
      </c>
      <c r="AU1">
        <v>117</v>
      </c>
      <c r="AV1">
        <v>120</v>
      </c>
      <c r="AW1">
        <v>123</v>
      </c>
      <c r="AX1">
        <v>126</v>
      </c>
      <c r="AY1">
        <v>129</v>
      </c>
      <c r="AZ1">
        <v>132</v>
      </c>
      <c r="BA1">
        <v>135</v>
      </c>
      <c r="BB1">
        <v>138</v>
      </c>
      <c r="BC1">
        <v>141</v>
      </c>
      <c r="BD1">
        <v>144</v>
      </c>
      <c r="BE1">
        <v>147</v>
      </c>
      <c r="BF1">
        <v>150</v>
      </c>
      <c r="BG1">
        <v>153</v>
      </c>
      <c r="BH1">
        <v>156</v>
      </c>
      <c r="BI1">
        <v>159</v>
      </c>
      <c r="BJ1">
        <v>162</v>
      </c>
      <c r="BK1">
        <v>165</v>
      </c>
      <c r="BL1">
        <v>168</v>
      </c>
      <c r="BM1">
        <v>171</v>
      </c>
      <c r="BN1">
        <v>174</v>
      </c>
      <c r="BO1">
        <v>177</v>
      </c>
      <c r="BP1">
        <v>180</v>
      </c>
      <c r="BQ1">
        <v>183</v>
      </c>
      <c r="BR1">
        <v>186</v>
      </c>
      <c r="BS1">
        <v>189</v>
      </c>
      <c r="BT1">
        <v>192</v>
      </c>
      <c r="BU1">
        <v>195</v>
      </c>
      <c r="BV1">
        <v>198</v>
      </c>
      <c r="BW1">
        <v>201</v>
      </c>
      <c r="BX1">
        <v>204</v>
      </c>
      <c r="BY1">
        <v>207</v>
      </c>
      <c r="BZ1">
        <v>210</v>
      </c>
      <c r="CA1">
        <v>213</v>
      </c>
      <c r="CB1">
        <v>216</v>
      </c>
      <c r="CC1">
        <v>219</v>
      </c>
      <c r="CD1">
        <v>222</v>
      </c>
      <c r="CE1">
        <v>225</v>
      </c>
      <c r="CF1">
        <v>228</v>
      </c>
      <c r="CG1">
        <v>231</v>
      </c>
      <c r="CH1">
        <v>234</v>
      </c>
      <c r="CI1">
        <v>237</v>
      </c>
      <c r="CJ1">
        <v>240</v>
      </c>
    </row>
    <row r="2" spans="1:88" s="1" customFormat="1" x14ac:dyDescent="0.2">
      <c r="D2" s="1">
        <f>D1</f>
        <v>45420</v>
      </c>
      <c r="F2" s="6" t="s">
        <v>3</v>
      </c>
      <c r="G2" s="6" t="s">
        <v>4</v>
      </c>
      <c r="H2" s="1">
        <f>D1+91</f>
        <v>45511</v>
      </c>
      <c r="I2" s="1">
        <f>IF(OR(TEXT(EDATE($D$2,I1),"AAA")=6,TEXT(EDATE($D$2,I1),"AAA")=7,IF(COUNTIF(holiday!$A$3:$A$864,EDATE($D$2,I1))&gt;0,1,0)=1),WORKDAY(EDATE($D$2,I1),1,holiday!$A$3:$A$864),EDATE($D$2,I1))</f>
        <v>45512</v>
      </c>
      <c r="J2" s="1">
        <f>IF(OR(TEXT(EDATE($D$2,J1),"AAA")=6,TEXT(EDATE($D$2,J1),"AAA")=7,IF(COUNTIF(holiday!$A$3:$A$864,EDATE($D$2,J1))&gt;0,1,0)=1),WORKDAY(EDATE($D$2,J1),1,holiday!$A$3:$A$864),EDATE($D$2,J1))</f>
        <v>45604</v>
      </c>
      <c r="K2" s="1">
        <f>IF(OR(TEXT(EDATE($D$2,K1),"AAA")=6,TEXT(EDATE($D$2,K1),"AAA")=7,IF(COUNTIF(holiday!$A$3:$A$864,EDATE($D$2,K1))&gt;0,1,0)=1),WORKDAY(EDATE($D$2,K1),1,holiday!$A$3:$A$864),EDATE($D$2,K1))</f>
        <v>45696</v>
      </c>
      <c r="L2" s="1">
        <f>IF(OR(TEXT(EDATE($D$2,L1),"AAA")=6,TEXT(EDATE($D$2,L1),"AAA")=7,IF(COUNTIF(holiday!$A$3:$A$864,EDATE($D$2,L1))&gt;0,1,0)=1),WORKDAY(EDATE($D$2,L1),1,holiday!$A$3:$A$864),EDATE($D$2,L1))</f>
        <v>45785</v>
      </c>
      <c r="M2" s="1">
        <f>IF(OR(TEXT(EDATE($D$2,M1),"AAA")=6,TEXT(EDATE($D$2,M1),"AAA")=7,IF(COUNTIF(holiday!$A$3:$A$864,EDATE($D$2,M1))&gt;0,1,0)=1),WORKDAY(EDATE($D$2,M1),1,holiday!$A$3:$A$864),EDATE($D$2,M1))</f>
        <v>45877</v>
      </c>
      <c r="N2" s="1">
        <f>IF(OR(TEXT(EDATE($D$2,N1),"AAA")=6,TEXT(EDATE($D$2,N1),"AAA")=7,IF(COUNTIF(holiday!$A$3:$A$864,EDATE($D$2,N1))&gt;0,1,0)=1),WORKDAY(EDATE($D$2,N1),1,holiday!$A$3:$A$864),EDATE($D$2,N1))</f>
        <v>45969</v>
      </c>
      <c r="O2" s="1">
        <f>IF(OR(TEXT(EDATE($D$2,O1),"AAA")=6,TEXT(EDATE($D$2,O1),"AAA")=7,IF(COUNTIF(holiday!$A$3:$A$864,EDATE($D$2,O1))&gt;0,1,0)=1),WORKDAY(EDATE($D$2,O1),1,holiday!$A$3:$A$864),EDATE($D$2,O1))</f>
        <v>46061</v>
      </c>
      <c r="P2" s="1">
        <f>IF(OR(TEXT(EDATE($D$2,P1),"AAA")=6,TEXT(EDATE($D$2,P1),"AAA")=7,IF(COUNTIF(holiday!$A$3:$A$864,EDATE($D$2,P1))&gt;0,1,0)=1),WORKDAY(EDATE($D$2,P1),1,holiday!$A$3:$A$864),EDATE($D$2,P1))</f>
        <v>46150</v>
      </c>
      <c r="Q2" s="1">
        <f>IF(OR(TEXT(EDATE($D$2,Q1),"AAA")=6,TEXT(EDATE($D$2,Q1),"AAA")=7,IF(COUNTIF(holiday!$A$3:$A$864,EDATE($D$2,Q1))&gt;0,1,0)=1),WORKDAY(EDATE($D$2,Q1),1,holiday!$A$3:$A$864),EDATE($D$2,Q1))</f>
        <v>46242</v>
      </c>
      <c r="R2" s="1">
        <f>IF(OR(TEXT(EDATE($D$2,R1),"AAA")=6,TEXT(EDATE($D$2,R1),"AAA")=7,IF(COUNTIF(holiday!$A$3:$A$864,EDATE($D$2,R1))&gt;0,1,0)=1),WORKDAY(EDATE($D$2,R1),1,holiday!$A$3:$A$864),EDATE($D$2,R1))</f>
        <v>46334</v>
      </c>
      <c r="S2" s="1">
        <f>IF(OR(TEXT(EDATE($D$2,S1),"AAA")=6,TEXT(EDATE($D$2,S1),"AAA")=7,IF(COUNTIF(holiday!$A$3:$A$864,EDATE($D$2,S1))&gt;0,1,0)=1),WORKDAY(EDATE($D$2,S1),1,holiday!$A$3:$A$864),EDATE($D$2,S1))</f>
        <v>46428</v>
      </c>
      <c r="T2" s="1">
        <f>IF(OR(TEXT(EDATE($D$2,T1),"AAA")=6,TEXT(EDATE($D$2,T1),"AAA")=7,IF(COUNTIF(holiday!$A$3:$A$864,EDATE($D$2,T1))&gt;0,1,0)=1),WORKDAY(EDATE($D$2,T1),1,holiday!$A$3:$A$864),EDATE($D$2,T1))</f>
        <v>46515</v>
      </c>
      <c r="U2" s="1">
        <f>IF(OR(TEXT(EDATE($D$2,U1),"AAA")=6,TEXT(EDATE($D$2,U1),"AAA")=7,IF(COUNTIF(holiday!$A$3:$A$864,EDATE($D$2,U1))&gt;0,1,0)=1),WORKDAY(EDATE($D$2,U1),1,holiday!$A$3:$A$864),EDATE($D$2,U1))</f>
        <v>46607</v>
      </c>
      <c r="V2" s="1">
        <f>IF(OR(TEXT(EDATE($D$2,V1),"AAA")=6,TEXT(EDATE($D$2,V1),"AAA")=7,IF(COUNTIF(holiday!$A$3:$A$864,EDATE($D$2,V1))&gt;0,1,0)=1),WORKDAY(EDATE($D$2,V1),1,holiday!$A$3:$A$864),EDATE($D$2,V1))</f>
        <v>46699</v>
      </c>
      <c r="W2" s="1">
        <f>IF(OR(TEXT(EDATE($D$2,W1),"AAA")=6,TEXT(EDATE($D$2,W1),"AAA")=7,IF(COUNTIF(holiday!$A$3:$A$864,EDATE($D$2,W1))&gt;0,1,0)=1),WORKDAY(EDATE($D$2,W1),1,holiday!$A$3:$A$864),EDATE($D$2,W1))</f>
        <v>46791</v>
      </c>
      <c r="X2" s="1">
        <f>IF(OR(TEXT(EDATE($D$2,X1),"AAA")=6,TEXT(EDATE($D$2,X1),"AAA")=7,IF(COUNTIF(holiday!$A$3:$A$864,EDATE($D$2,X1))&gt;0,1,0)=1),WORKDAY(EDATE($D$2,X1),1,holiday!$A$3:$A$864),EDATE($D$2,X1))</f>
        <v>46881</v>
      </c>
      <c r="Y2" s="1">
        <f>IF(OR(TEXT(EDATE($D$2,Y1),"AAA")=6,TEXT(EDATE($D$2,Y1),"AAA")=7,IF(COUNTIF(holiday!$A$3:$A$864,EDATE($D$2,Y1))&gt;0,1,0)=1),WORKDAY(EDATE($D$2,Y1),1,holiday!$A$3:$A$864),EDATE($D$2,Y1))</f>
        <v>46973</v>
      </c>
      <c r="Z2" s="1">
        <f>IF(OR(TEXT(EDATE($D$2,Z1),"AAA")=6,TEXT(EDATE($D$2,Z1),"AAA")=7,IF(COUNTIF(holiday!$A$3:$A$864,EDATE($D$2,Z1))&gt;0,1,0)=1),WORKDAY(EDATE($D$2,Z1),1,holiday!$A$3:$A$864),EDATE($D$2,Z1))</f>
        <v>47065</v>
      </c>
      <c r="AA2" s="1">
        <f>IF(OR(TEXT(EDATE($D$2,AA1),"AAA")=6,TEXT(EDATE($D$2,AA1),"AAA")=7,IF(COUNTIF(holiday!$A$3:$A$864,EDATE($D$2,AA1))&gt;0,1,0)=1),WORKDAY(EDATE($D$2,AA1),1,holiday!$A$3:$A$864),EDATE($D$2,AA1))</f>
        <v>47157</v>
      </c>
      <c r="AB2" s="1">
        <f>IF(OR(TEXT(EDATE($D$2,AB1),"AAA")=6,TEXT(EDATE($D$2,AB1),"AAA")=7,IF(COUNTIF(holiday!$A$3:$A$864,EDATE($D$2,AB1))&gt;0,1,0)=1),WORKDAY(EDATE($D$2,AB1),1,holiday!$A$3:$A$864),EDATE($D$2,AB1))</f>
        <v>47246</v>
      </c>
      <c r="AC2" s="1">
        <f>IF(OR(TEXT(EDATE($D$2,AC1),"AAA")=6,TEXT(EDATE($D$2,AC1),"AAA")=7,IF(COUNTIF(holiday!$A$3:$A$864,EDATE($D$2,AC1))&gt;0,1,0)=1),WORKDAY(EDATE($D$2,AC1),1,holiday!$A$3:$A$864),EDATE($D$2,AC1))</f>
        <v>47338</v>
      </c>
      <c r="AD2" s="1">
        <f>IF(OR(TEXT(EDATE($D$2,AD1),"AAA")=6,TEXT(EDATE($D$2,AD1),"AAA")=7,IF(COUNTIF(holiday!$A$3:$A$864,EDATE($D$2,AD1))&gt;0,1,0)=1),WORKDAY(EDATE($D$2,AD1),1,holiday!$A$3:$A$864),EDATE($D$2,AD1))</f>
        <v>47430</v>
      </c>
      <c r="AE2" s="1">
        <f>IF(OR(TEXT(EDATE($D$2,AE1),"AAA")=6,TEXT(EDATE($D$2,AE1),"AAA")=7,IF(COUNTIF(holiday!$A$3:$A$864,EDATE($D$2,AE1))&gt;0,1,0)=1),WORKDAY(EDATE($D$2,AE1),1,holiday!$A$3:$A$864),EDATE($D$2,AE1))</f>
        <v>47522</v>
      </c>
      <c r="AF2" s="1">
        <f>IF(OR(TEXT(EDATE($D$2,AF1),"AAA")=6,TEXT(EDATE($D$2,AF1),"AAA")=7,IF(COUNTIF(holiday!$A$3:$A$864,EDATE($D$2,AF1))&gt;0,1,0)=1),WORKDAY(EDATE($D$2,AF1),1,holiday!$A$3:$A$864),EDATE($D$2,AF1))</f>
        <v>47611</v>
      </c>
      <c r="AG2" s="1">
        <f>IF(OR(TEXT(EDATE($D$2,AG1),"AAA")=6,TEXT(EDATE($D$2,AG1),"AAA")=7,IF(COUNTIF(holiday!$A$3:$A$864,EDATE($D$2,AG1))&gt;0,1,0)=1),WORKDAY(EDATE($D$2,AG1),1,holiday!$A$3:$A$864),EDATE($D$2,AG1))</f>
        <v>47703</v>
      </c>
      <c r="AH2" s="1">
        <f>IF(OR(TEXT(EDATE($D$2,AH1),"AAA")=6,TEXT(EDATE($D$2,AH1),"AAA")=7,IF(COUNTIF(holiday!$A$3:$A$864,EDATE($D$2,AH1))&gt;0,1,0)=1),WORKDAY(EDATE($D$2,AH1),1,holiday!$A$3:$A$864),EDATE($D$2,AH1))</f>
        <v>47795</v>
      </c>
      <c r="AI2" s="1">
        <f>IF(OR(TEXT(EDATE($D$2,AI1),"AAA")=6,TEXT(EDATE($D$2,AI1),"AAA")=7,IF(COUNTIF(holiday!$A$3:$A$864,EDATE($D$2,AI1))&gt;0,1,0)=1),WORKDAY(EDATE($D$2,AI1),1,holiday!$A$3:$A$864),EDATE($D$2,AI1))</f>
        <v>47887</v>
      </c>
      <c r="AJ2" s="1">
        <f>IF(OR(TEXT(EDATE($D$2,AJ1),"AAA")=6,TEXT(EDATE($D$2,AJ1),"AAA")=7,IF(COUNTIF(holiday!$A$3:$A$864,EDATE($D$2,AJ1))&gt;0,1,0)=1),WORKDAY(EDATE($D$2,AJ1),1,holiday!$A$3:$A$864),EDATE($D$2,AJ1))</f>
        <v>47976</v>
      </c>
      <c r="AK2" s="1">
        <f>IF(OR(TEXT(EDATE($D$2,AK1),"AAA")=6,TEXT(EDATE($D$2,AK1),"AAA")=7,IF(COUNTIF(holiday!$A$3:$A$864,EDATE($D$2,AK1))&gt;0,1,0)=1),WORKDAY(EDATE($D$2,AK1),1,holiday!$A$3:$A$864),EDATE($D$2,AK1))</f>
        <v>48068</v>
      </c>
      <c r="AL2" s="1">
        <f>IF(OR(TEXT(EDATE($D$2,AL1),"AAA")=6,TEXT(EDATE($D$2,AL1),"AAA")=7,IF(COUNTIF(holiday!$A$3:$A$864,EDATE($D$2,AL1))&gt;0,1,0)=1),WORKDAY(EDATE($D$2,AL1),1,holiday!$A$3:$A$864),EDATE($D$2,AL1))</f>
        <v>48160</v>
      </c>
      <c r="AM2" s="1">
        <f>IF(OR(TEXT(EDATE($D$2,AM1),"AAA")=6,TEXT(EDATE($D$2,AM1),"AAA")=7,IF(COUNTIF(holiday!$A$3:$A$864,EDATE($D$2,AM1))&gt;0,1,0)=1),WORKDAY(EDATE($D$2,AM1),1,holiday!$A$3:$A$864),EDATE($D$2,AM1))</f>
        <v>48252</v>
      </c>
      <c r="AN2" s="1">
        <f>IF(OR(TEXT(EDATE($D$2,AN1),"AAA")=6,TEXT(EDATE($D$2,AN1),"AAA")=7,IF(COUNTIF(holiday!$A$3:$A$864,EDATE($D$2,AN1))&gt;0,1,0)=1),WORKDAY(EDATE($D$2,AN1),1,holiday!$A$3:$A$864),EDATE($D$2,AN1))</f>
        <v>48342</v>
      </c>
      <c r="AO2" s="1">
        <f>IF(OR(TEXT(EDATE($D$2,AO1),"AAA")=6,TEXT(EDATE($D$2,AO1),"AAA")=7,IF(COUNTIF(holiday!$A$3:$A$864,EDATE($D$2,AO1))&gt;0,1,0)=1),WORKDAY(EDATE($D$2,AO1),1,holiday!$A$3:$A$864),EDATE($D$2,AO1))</f>
        <v>48434</v>
      </c>
      <c r="AP2" s="1">
        <f>IF(OR(TEXT(EDATE($D$2,AP1),"AAA")=6,TEXT(EDATE($D$2,AP1),"AAA")=7,IF(COUNTIF(holiday!$A$3:$A$864,EDATE($D$2,AP1))&gt;0,1,0)=1),WORKDAY(EDATE($D$2,AP1),1,holiday!$A$3:$A$864),EDATE($D$2,AP1))</f>
        <v>48526</v>
      </c>
      <c r="AQ2" s="1">
        <f>IF(OR(TEXT(EDATE($D$2,AQ1),"AAA")=6,TEXT(EDATE($D$2,AQ1),"AAA")=7,IF(COUNTIF(holiday!$A$3:$A$864,EDATE($D$2,AQ1))&gt;0,1,0)=1),WORKDAY(EDATE($D$2,AQ1),1,holiday!$A$3:$A$864),EDATE($D$2,AQ1))</f>
        <v>48618</v>
      </c>
      <c r="AR2" s="1">
        <f>IF(OR(TEXT(EDATE($D$2,AR1),"AAA")=6,TEXT(EDATE($D$2,AR1),"AAA")=7,IF(COUNTIF(holiday!$A$3:$A$864,EDATE($D$2,AR1))&gt;0,1,0)=1),WORKDAY(EDATE($D$2,AR1),1,holiday!$A$3:$A$864),EDATE($D$2,AR1))</f>
        <v>48707</v>
      </c>
      <c r="AS2" s="1">
        <f>IF(OR(TEXT(EDATE($D$2,AS1),"AAA")=6,TEXT(EDATE($D$2,AS1),"AAA")=7,IF(COUNTIF(holiday!$A$3:$A$864,EDATE($D$2,AS1))&gt;0,1,0)=1),WORKDAY(EDATE($D$2,AS1),1,holiday!$A$3:$A$864),EDATE($D$2,AS1))</f>
        <v>48799</v>
      </c>
      <c r="AT2" s="1">
        <f>IF(OR(TEXT(EDATE($D$2,AT1),"AAA")=6,TEXT(EDATE($D$2,AT1),"AAA")=7,IF(COUNTIF(holiday!$A$3:$A$864,EDATE($D$2,AT1))&gt;0,1,0)=1),WORKDAY(EDATE($D$2,AT1),1,holiday!$A$3:$A$864),EDATE($D$2,AT1))</f>
        <v>48891</v>
      </c>
      <c r="AU2" s="1">
        <f>IF(OR(TEXT(EDATE($D$2,AU1),"AAA")=6,TEXT(EDATE($D$2,AU1),"AAA")=7,IF(COUNTIF(holiday!$A$3:$A$864,EDATE($D$2,AU1))&gt;0,1,0)=1),WORKDAY(EDATE($D$2,AU1),1,holiday!$A$3:$A$864),EDATE($D$2,AU1))</f>
        <v>48983</v>
      </c>
      <c r="AV2" s="1">
        <f>IF(OR(TEXT(EDATE($D$2,AV1),"AAA")=6,TEXT(EDATE($D$2,AV1),"AAA")=7,IF(COUNTIF(holiday!$A$3:$A$864,EDATE($D$2,AV1))&gt;0,1,0)=1),WORKDAY(EDATE($D$2,AV1),1,holiday!$A$3:$A$864),EDATE($D$2,AV1))</f>
        <v>49072</v>
      </c>
      <c r="AW2" s="1">
        <f>IF(OR(TEXT(EDATE($D$2,AW1),"AAA")=6,TEXT(EDATE($D$2,AW1),"AAA")=7,IF(COUNTIF(holiday!$A$3:$A$864,EDATE($D$2,AW1))&gt;0,1,0)=1),WORKDAY(EDATE($D$2,AW1),1,holiday!$A$3:$A$864),EDATE($D$2,AW1))</f>
        <v>49164</v>
      </c>
      <c r="AX2" s="1">
        <f>IF(OR(TEXT(EDATE($D$2,AX1),"AAA")=6,TEXT(EDATE($D$2,AX1),"AAA")=7,IF(COUNTIF(holiday!$A$3:$A$864,EDATE($D$2,AX1))&gt;0,1,0)=1),WORKDAY(EDATE($D$2,AX1),1,holiday!$A$3:$A$864),EDATE($D$2,AX1))</f>
        <v>49256</v>
      </c>
      <c r="AY2" s="1">
        <f>IF(OR(TEXT(EDATE($D$2,AY1),"AAA")=6,TEXT(EDATE($D$2,AY1),"AAA")=7,IF(COUNTIF(holiday!$A$3:$A$864,EDATE($D$2,AY1))&gt;0,1,0)=1),WORKDAY(EDATE($D$2,AY1),1,holiday!$A$3:$A$864),EDATE($D$2,AY1))</f>
        <v>49352</v>
      </c>
      <c r="AZ2" s="1">
        <f>IF(OR(TEXT(EDATE($D$2,AZ1),"AAA")=6,TEXT(EDATE($D$2,AZ1),"AAA")=7,IF(COUNTIF(holiday!$A$3:$A$864,EDATE($D$2,AZ1))&gt;0,1,0)=1),WORKDAY(EDATE($D$2,AZ1),1,holiday!$A$3:$A$864),EDATE($D$2,AZ1))</f>
        <v>49437</v>
      </c>
      <c r="BA2" s="1">
        <f>IF(OR(TEXT(EDATE($D$2,BA1),"AAA")=6,TEXT(EDATE($D$2,BA1),"AAA")=7,IF(COUNTIF(holiday!$A$3:$A$864,EDATE($D$2,BA1))&gt;0,1,0)=1),WORKDAY(EDATE($D$2,BA1),1,holiday!$A$3:$A$864),EDATE($D$2,BA1))</f>
        <v>49529</v>
      </c>
      <c r="BB2" s="1">
        <f>IF(OR(TEXT(EDATE($D$2,BB1),"AAA")=6,TEXT(EDATE($D$2,BB1),"AAA")=7,IF(COUNTIF(holiday!$A$3:$A$864,EDATE($D$2,BB1))&gt;0,1,0)=1),WORKDAY(EDATE($D$2,BB1),1,holiday!$A$3:$A$864),EDATE($D$2,BB1))</f>
        <v>49621</v>
      </c>
      <c r="BC2" s="1">
        <f>IF(OR(TEXT(EDATE($D$2,BC1),"AAA")=6,TEXT(EDATE($D$2,BC1),"AAA")=7,IF(COUNTIF(holiday!$A$3:$A$864,EDATE($D$2,BC1))&gt;0,1,0)=1),WORKDAY(EDATE($D$2,BC1),1,holiday!$A$3:$A$864),EDATE($D$2,BC1))</f>
        <v>49713</v>
      </c>
      <c r="BD2" s="1">
        <f>IF(OR(TEXT(EDATE($D$2,BD1),"AAA")=6,TEXT(EDATE($D$2,BD1),"AAA")=7,IF(COUNTIF(holiday!$A$3:$A$864,EDATE($D$2,BD1))&gt;0,1,0)=1),WORKDAY(EDATE($D$2,BD1),1,holiday!$A$3:$A$864),EDATE($D$2,BD1))</f>
        <v>49803</v>
      </c>
      <c r="BE2" s="1">
        <f>IF(OR(TEXT(EDATE($D$2,BE1),"AAA")=6,TEXT(EDATE($D$2,BE1),"AAA")=7,IF(COUNTIF(holiday!$A$3:$A$864,EDATE($D$2,BE1))&gt;0,1,0)=1),WORKDAY(EDATE($D$2,BE1),1,holiday!$A$3:$A$864),EDATE($D$2,BE1))</f>
        <v>49895</v>
      </c>
      <c r="BF2" s="1">
        <f>IF(OR(TEXT(EDATE($D$2,BF1),"AAA")=6,TEXT(EDATE($D$2,BF1),"AAA")=7,IF(COUNTIF(holiday!$A$3:$A$864,EDATE($D$2,BF1))&gt;0,1,0)=1),WORKDAY(EDATE($D$2,BF1),1,holiday!$A$3:$A$864),EDATE($D$2,BF1))</f>
        <v>49987</v>
      </c>
      <c r="BG2" s="1">
        <f>IF(OR(TEXT(EDATE($D$2,BG1),"AAA")=6,TEXT(EDATE($D$2,BG1),"AAA")=7,IF(COUNTIF(holiday!$A$3:$A$864,EDATE($D$2,BG1))&gt;0,1,0)=1),WORKDAY(EDATE($D$2,BG1),1,holiday!$A$3:$A$864),EDATE($D$2,BG1))</f>
        <v>50079</v>
      </c>
      <c r="BH2" s="1">
        <f>IF(OR(TEXT(EDATE($D$2,BH1),"AAA")=6,TEXT(EDATE($D$2,BH1),"AAA")=7,IF(COUNTIF(holiday!$A$3:$A$864,EDATE($D$2,BH1))&gt;0,1,0)=1),WORKDAY(EDATE($D$2,BH1),1,holiday!$A$3:$A$864),EDATE($D$2,BH1))</f>
        <v>50168</v>
      </c>
      <c r="BI2" s="1">
        <f>IF(OR(TEXT(EDATE($D$2,BI1),"AAA")=6,TEXT(EDATE($D$2,BI1),"AAA")=7,IF(COUNTIF(holiday!$A$3:$A$864,EDATE($D$2,BI1))&gt;0,1,0)=1),WORKDAY(EDATE($D$2,BI1),1,holiday!$A$3:$A$864),EDATE($D$2,BI1))</f>
        <v>50260</v>
      </c>
      <c r="BJ2" s="1">
        <f>IF(OR(TEXT(EDATE($D$2,BJ1),"AAA")=6,TEXT(EDATE($D$2,BJ1),"AAA")=7,IF(COUNTIF(holiday!$A$3:$A$864,EDATE($D$2,BJ1))&gt;0,1,0)=1),WORKDAY(EDATE($D$2,BJ1),1,holiday!$A$3:$A$864),EDATE($D$2,BJ1))</f>
        <v>50352</v>
      </c>
      <c r="BK2" s="1">
        <f>IF(OR(TEXT(EDATE($D$2,BK1),"AAA")=6,TEXT(EDATE($D$2,BK1),"AAA")=7,IF(COUNTIF(holiday!$A$3:$A$864,EDATE($D$2,BK1))&gt;0,1,0)=1),WORKDAY(EDATE($D$2,BK1),1,holiday!$A$3:$A$864),EDATE($D$2,BK1))</f>
        <v>50444</v>
      </c>
      <c r="BL2" s="1">
        <f>IF(OR(TEXT(EDATE($D$2,BL1),"AAA")=6,TEXT(EDATE($D$2,BL1),"AAA")=7,IF(COUNTIF(holiday!$A$3:$A$864,EDATE($D$2,BL1))&gt;0,1,0)=1),WORKDAY(EDATE($D$2,BL1),1,holiday!$A$3:$A$864),EDATE($D$2,BL1))</f>
        <v>50533</v>
      </c>
      <c r="BM2" s="1">
        <f>IF(OR(TEXT(EDATE($D$2,BM1),"AAA")=6,TEXT(EDATE($D$2,BM1),"AAA")=7,IF(COUNTIF(holiday!$A$3:$A$864,EDATE($D$2,BM1))&gt;0,1,0)=1),WORKDAY(EDATE($D$2,BM1),1,holiday!$A$3:$A$864),EDATE($D$2,BM1))</f>
        <v>50625</v>
      </c>
      <c r="BN2" s="1">
        <f>IF(OR(TEXT(EDATE($D$2,BN1),"AAA")=6,TEXT(EDATE($D$2,BN1),"AAA")=7,IF(COUNTIF(holiday!$A$3:$A$864,EDATE($D$2,BN1))&gt;0,1,0)=1),WORKDAY(EDATE($D$2,BN1),1,holiday!$A$3:$A$864),EDATE($D$2,BN1))</f>
        <v>50717</v>
      </c>
      <c r="BO2" s="1">
        <f>IF(OR(TEXT(EDATE($D$2,BO1),"AAA")=6,TEXT(EDATE($D$2,BO1),"AAA")=7,IF(COUNTIF(holiday!$A$3:$A$864,EDATE($D$2,BO1))&gt;0,1,0)=1),WORKDAY(EDATE($D$2,BO1),1,holiday!$A$3:$A$864),EDATE($D$2,BO1))</f>
        <v>50809</v>
      </c>
      <c r="BP2" s="1">
        <f>IF(OR(TEXT(EDATE($D$2,BP1),"AAA")=6,TEXT(EDATE($D$2,BP1),"AAA")=7,IF(COUNTIF(holiday!$A$3:$A$864,EDATE($D$2,BP1))&gt;0,1,0)=1),WORKDAY(EDATE($D$2,BP1),1,holiday!$A$3:$A$864),EDATE($D$2,BP1))</f>
        <v>50898</v>
      </c>
      <c r="BQ2" s="1">
        <f>IF(OR(TEXT(EDATE($D$2,BQ1),"AAA")=6,TEXT(EDATE($D$2,BQ1),"AAA")=7,IF(COUNTIF(holiday!$A$3:$A$864,EDATE($D$2,BQ1))&gt;0,1,0)=1),WORKDAY(EDATE($D$2,BQ1),1,holiday!$A$3:$A$864),EDATE($D$2,BQ1))</f>
        <v>50990</v>
      </c>
      <c r="BR2" s="1">
        <f>IF(OR(TEXT(EDATE($D$2,BR1),"AAA")=6,TEXT(EDATE($D$2,BR1),"AAA")=7,IF(COUNTIF(holiday!$A$3:$A$864,EDATE($D$2,BR1))&gt;0,1,0)=1),WORKDAY(EDATE($D$2,BR1),1,holiday!$A$3:$A$864),EDATE($D$2,BR1))</f>
        <v>51082</v>
      </c>
      <c r="BS2" s="1">
        <f>IF(OR(TEXT(EDATE($D$2,BS1),"AAA")=6,TEXT(EDATE($D$2,BS1),"AAA")=7,IF(COUNTIF(holiday!$A$3:$A$864,EDATE($D$2,BS1))&gt;0,1,0)=1),WORKDAY(EDATE($D$2,BS1),1,holiday!$A$3:$A$864),EDATE($D$2,BS1))</f>
        <v>51174</v>
      </c>
      <c r="BT2" s="1">
        <f>IF(OR(TEXT(EDATE($D$2,BT1),"AAA")=6,TEXT(EDATE($D$2,BT1),"AAA")=7,IF(COUNTIF(holiday!$A$3:$A$864,EDATE($D$2,BT1))&gt;0,1,0)=1),WORKDAY(EDATE($D$2,BT1),1,holiday!$A$3:$A$864),EDATE($D$2,BT1))</f>
        <v>51264</v>
      </c>
      <c r="BU2" s="1">
        <f>IF(OR(TEXT(EDATE($D$2,BU1),"AAA")=6,TEXT(EDATE($D$2,BU1),"AAA")=7,IF(COUNTIF(holiday!$A$3:$A$864,EDATE($D$2,BU1))&gt;0,1,0)=1),WORKDAY(EDATE($D$2,BU1),1,holiday!$A$3:$A$864),EDATE($D$2,BU1))</f>
        <v>51356</v>
      </c>
      <c r="BV2" s="1">
        <f>IF(OR(TEXT(EDATE($D$2,BV1),"AAA")=6,TEXT(EDATE($D$2,BV1),"AAA")=7,IF(COUNTIF(holiday!$A$3:$A$864,EDATE($D$2,BV1))&gt;0,1,0)=1),WORKDAY(EDATE($D$2,BV1),1,holiday!$A$3:$A$864),EDATE($D$2,BV1))</f>
        <v>51448</v>
      </c>
      <c r="BW2" s="1">
        <f>IF(OR(TEXT(EDATE($D$2,BW1),"AAA")=6,TEXT(EDATE($D$2,BW1),"AAA")=7,IF(COUNTIF(holiday!$A$3:$A$864,EDATE($D$2,BW1))&gt;0,1,0)=1),WORKDAY(EDATE($D$2,BW1),1,holiday!$A$3:$A$864),EDATE($D$2,BW1))</f>
        <v>51540</v>
      </c>
      <c r="BX2" s="1">
        <f>IF(OR(TEXT(EDATE($D$2,BX1),"AAA")=6,TEXT(EDATE($D$2,BX1),"AAA")=7,IF(COUNTIF(holiday!$A$3:$A$864,EDATE($D$2,BX1))&gt;0,1,0)=1),WORKDAY(EDATE($D$2,BX1),1,holiday!$A$3:$A$864),EDATE($D$2,BX1))</f>
        <v>51629</v>
      </c>
      <c r="BY2" s="1">
        <f>IF(OR(TEXT(EDATE($D$2,BY1),"AAA")=6,TEXT(EDATE($D$2,BY1),"AAA")=7,IF(COUNTIF(holiday!$A$3:$A$864,EDATE($D$2,BY1))&gt;0,1,0)=1),WORKDAY(EDATE($D$2,BY1),1,holiday!$A$3:$A$864),EDATE($D$2,BY1))</f>
        <v>51721</v>
      </c>
      <c r="BZ2" s="1">
        <f>IF(OR(TEXT(EDATE($D$2,BZ1),"AAA")=6,TEXT(EDATE($D$2,BZ1),"AAA")=7,IF(COUNTIF(holiday!$A$3:$A$864,EDATE($D$2,BZ1))&gt;0,1,0)=1),WORKDAY(EDATE($D$2,BZ1),1,holiday!$A$3:$A$864),EDATE($D$2,BZ1))</f>
        <v>51813</v>
      </c>
      <c r="CA2" s="1">
        <f>IF(OR(TEXT(EDATE($D$2,CA1),"AAA")=6,TEXT(EDATE($D$2,CA1),"AAA")=7,IF(COUNTIF(holiday!$A$3:$A$864,EDATE($D$2,CA1))&gt;0,1,0)=1),WORKDAY(EDATE($D$2,CA1),1,holiday!$A$3:$A$864),EDATE($D$2,CA1))</f>
        <v>51905</v>
      </c>
      <c r="CB2" s="1">
        <f>IF(OR(TEXT(EDATE($D$2,CB1),"AAA")=6,TEXT(EDATE($D$2,CB1),"AAA")=7,IF(COUNTIF(holiday!$A$3:$A$864,EDATE($D$2,CB1))&gt;0,1,0)=1),WORKDAY(EDATE($D$2,CB1),1,holiday!$A$3:$A$864),EDATE($D$2,CB1))</f>
        <v>51994</v>
      </c>
      <c r="CC2" s="1">
        <f>IF(OR(TEXT(EDATE($D$2,CC1),"AAA")=6,TEXT(EDATE($D$2,CC1),"AAA")=7,IF(COUNTIF(holiday!$A$3:$A$864,EDATE($D$2,CC1))&gt;0,1,0)=1),WORKDAY(EDATE($D$2,CC1),1,holiday!$A$3:$A$864),EDATE($D$2,CC1))</f>
        <v>52086</v>
      </c>
      <c r="CD2" s="1">
        <f>IF(OR(TEXT(EDATE($D$2,CD1),"AAA")=6,TEXT(EDATE($D$2,CD1),"AAA")=7,IF(COUNTIF(holiday!$A$3:$A$864,EDATE($D$2,CD1))&gt;0,1,0)=1),WORKDAY(EDATE($D$2,CD1),1,holiday!$A$3:$A$864),EDATE($D$2,CD1))</f>
        <v>52178</v>
      </c>
      <c r="CE2" s="1">
        <f>IF(OR(TEXT(EDATE($D$2,CE1),"AAA")=6,TEXT(EDATE($D$2,CE1),"AAA")=7,IF(COUNTIF(holiday!$A$3:$A$864,EDATE($D$2,CE1))&gt;0,1,0)=1),WORKDAY(EDATE($D$2,CE1),1,holiday!$A$3:$A$864),EDATE($D$2,CE1))</f>
        <v>52270</v>
      </c>
      <c r="CF2" s="1">
        <f>IF(OR(TEXT(EDATE($D$2,CF1),"AAA")=6,TEXT(EDATE($D$2,CF1),"AAA")=7,IF(COUNTIF(holiday!$A$3:$A$864,EDATE($D$2,CF1))&gt;0,1,0)=1),WORKDAY(EDATE($D$2,CF1),1,holiday!$A$3:$A$864),EDATE($D$2,CF1))</f>
        <v>52359</v>
      </c>
      <c r="CG2" s="1">
        <f>IF(OR(TEXT(EDATE($D$2,CG1),"AAA")=6,TEXT(EDATE($D$2,CG1),"AAA")=7,IF(COUNTIF(holiday!$A$3:$A$864,EDATE($D$2,CG1))&gt;0,1,0)=1),WORKDAY(EDATE($D$2,CG1),1,holiday!$A$3:$A$864),EDATE($D$2,CG1))</f>
        <v>52451</v>
      </c>
      <c r="CH2" s="1">
        <f>IF(OR(TEXT(EDATE($D$2,CH1),"AAA")=6,TEXT(EDATE($D$2,CH1),"AAA")=7,IF(COUNTIF(holiday!$A$3:$A$864,EDATE($D$2,CH1))&gt;0,1,0)=1),WORKDAY(EDATE($D$2,CH1),1,holiday!$A$3:$A$864),EDATE($D$2,CH1))</f>
        <v>52543</v>
      </c>
      <c r="CI2" s="1">
        <f>IF(OR(TEXT(EDATE($D$2,CI1),"AAA")=6,TEXT(EDATE($D$2,CI1),"AAA")=7,IF(COUNTIF(holiday!$A$3:$A$864,EDATE($D$2,CI1))&gt;0,1,0)=1),WORKDAY(EDATE($D$2,CI1),1,holiday!$A$3:$A$864),EDATE($D$2,CI1))</f>
        <v>52635</v>
      </c>
      <c r="CJ2" s="1">
        <f>IF(OR(TEXT(EDATE($D$2,CJ1),"AAA")=6,TEXT(EDATE($D$2,CJ1),"AAA")=7,IF(COUNTIF(holiday!$A$3:$A$864,EDATE($D$2,CJ1))&gt;0,1,0)=1),WORKDAY(EDATE($D$2,CJ1),1,holiday!$A$3:$A$864),EDATE($D$2,CJ1))</f>
        <v>52725</v>
      </c>
    </row>
    <row r="3" spans="1:88" x14ac:dyDescent="0.3">
      <c r="A3" s="45" t="s">
        <v>1543</v>
      </c>
      <c r="B3" s="3"/>
      <c r="C3" s="2">
        <f>market_data!H2%</f>
        <v>3.5699999999999996E-2</v>
      </c>
      <c r="D3" s="12">
        <v>3</v>
      </c>
      <c r="E3" s="34">
        <v>3</v>
      </c>
      <c r="F3" s="30">
        <f>1/(1+I3)</f>
        <v>0.99108189214639553</v>
      </c>
      <c r="G3" s="15"/>
      <c r="H3" s="15"/>
      <c r="I3" s="13">
        <f>_xlfn.DAYS(I2,D1)/365*C3</f>
        <v>8.9983561643835613E-3</v>
      </c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</row>
    <row r="4" spans="1:88" x14ac:dyDescent="0.3">
      <c r="A4" s="45" t="s">
        <v>1547</v>
      </c>
      <c r="B4" s="5"/>
      <c r="C4" s="2">
        <f>market_data!H3%</f>
        <v>3.6000000000000004E-2</v>
      </c>
      <c r="D4" s="12">
        <v>6</v>
      </c>
      <c r="E4" s="34">
        <v>6</v>
      </c>
      <c r="F4" s="4">
        <v>0.98224109269749027</v>
      </c>
      <c r="G4" s="15">
        <f>I4*F3+J4*F4</f>
        <v>1.000000999561085</v>
      </c>
      <c r="H4" s="15"/>
      <c r="I4" s="13">
        <f>IF(I$1&gt;$D4,"",IF($D4=I$1,1+$C4/4,$C4/4))</f>
        <v>9.0000000000000011E-3</v>
      </c>
      <c r="J4" s="13">
        <f t="shared" ref="J4:K4" si="0">IF(J$1&gt;$D4,"",IF($D4=J$1,1+$C4/4,$C4/4))</f>
        <v>1.0089999999999999</v>
      </c>
      <c r="K4" s="13" t="str">
        <f t="shared" si="0"/>
        <v/>
      </c>
      <c r="L4" s="13" t="str">
        <f t="shared" ref="L4:BU5" si="1">IF(L$1&gt;$D4,"",IF($D4=L$1,1+$C4/4,$C4/4))</f>
        <v/>
      </c>
      <c r="M4" s="13" t="str">
        <f t="shared" si="1"/>
        <v/>
      </c>
      <c r="N4" s="13" t="str">
        <f t="shared" si="1"/>
        <v/>
      </c>
      <c r="O4" s="13" t="str">
        <f t="shared" si="1"/>
        <v/>
      </c>
      <c r="P4" s="13" t="str">
        <f t="shared" si="1"/>
        <v/>
      </c>
      <c r="Q4" s="13" t="str">
        <f t="shared" si="1"/>
        <v/>
      </c>
      <c r="R4" s="13" t="str">
        <f t="shared" si="1"/>
        <v/>
      </c>
      <c r="S4" s="13" t="str">
        <f t="shared" si="1"/>
        <v/>
      </c>
      <c r="T4" s="13" t="str">
        <f t="shared" si="1"/>
        <v/>
      </c>
      <c r="U4" s="13" t="str">
        <f t="shared" si="1"/>
        <v/>
      </c>
      <c r="V4" s="13" t="str">
        <f t="shared" si="1"/>
        <v/>
      </c>
      <c r="W4" s="13" t="str">
        <f t="shared" si="1"/>
        <v/>
      </c>
      <c r="X4" s="13" t="str">
        <f t="shared" si="1"/>
        <v/>
      </c>
      <c r="Y4" s="13" t="str">
        <f t="shared" si="1"/>
        <v/>
      </c>
      <c r="Z4" s="13" t="str">
        <f t="shared" si="1"/>
        <v/>
      </c>
      <c r="AA4" s="13" t="str">
        <f t="shared" si="1"/>
        <v/>
      </c>
      <c r="AB4" s="13" t="str">
        <f t="shared" si="1"/>
        <v/>
      </c>
      <c r="AC4" s="13" t="str">
        <f t="shared" si="1"/>
        <v/>
      </c>
      <c r="AD4" s="13" t="str">
        <f t="shared" si="1"/>
        <v/>
      </c>
      <c r="AE4" s="13" t="str">
        <f t="shared" si="1"/>
        <v/>
      </c>
      <c r="AF4" s="13" t="str">
        <f t="shared" si="1"/>
        <v/>
      </c>
      <c r="AG4" s="13" t="str">
        <f t="shared" si="1"/>
        <v/>
      </c>
      <c r="AH4" s="13" t="str">
        <f t="shared" si="1"/>
        <v/>
      </c>
      <c r="AI4" s="13" t="str">
        <f t="shared" si="1"/>
        <v/>
      </c>
      <c r="AJ4" s="13" t="str">
        <f t="shared" si="1"/>
        <v/>
      </c>
      <c r="AK4" s="13" t="str">
        <f t="shared" si="1"/>
        <v/>
      </c>
      <c r="AL4" s="13" t="str">
        <f t="shared" si="1"/>
        <v/>
      </c>
      <c r="AM4" s="13" t="str">
        <f t="shared" si="1"/>
        <v/>
      </c>
      <c r="AN4" s="13" t="str">
        <f t="shared" si="1"/>
        <v/>
      </c>
      <c r="AO4" s="13" t="str">
        <f t="shared" si="1"/>
        <v/>
      </c>
      <c r="AP4" s="13" t="str">
        <f t="shared" si="1"/>
        <v/>
      </c>
      <c r="AQ4" s="13" t="str">
        <f t="shared" si="1"/>
        <v/>
      </c>
      <c r="AR4" s="13" t="str">
        <f t="shared" si="1"/>
        <v/>
      </c>
      <c r="AS4" s="13" t="str">
        <f t="shared" si="1"/>
        <v/>
      </c>
      <c r="AT4" s="13" t="str">
        <f t="shared" si="1"/>
        <v/>
      </c>
      <c r="AU4" s="13" t="str">
        <f t="shared" si="1"/>
        <v/>
      </c>
      <c r="AV4" s="13" t="str">
        <f t="shared" si="1"/>
        <v/>
      </c>
      <c r="AW4" s="13" t="str">
        <f t="shared" si="1"/>
        <v/>
      </c>
      <c r="AX4" s="13" t="str">
        <f t="shared" si="1"/>
        <v/>
      </c>
      <c r="AY4" s="13" t="str">
        <f t="shared" si="1"/>
        <v/>
      </c>
      <c r="AZ4" s="13" t="str">
        <f t="shared" si="1"/>
        <v/>
      </c>
      <c r="BA4" s="13" t="str">
        <f t="shared" si="1"/>
        <v/>
      </c>
      <c r="BB4" s="13" t="str">
        <f t="shared" si="1"/>
        <v/>
      </c>
      <c r="BC4" s="13" t="str">
        <f t="shared" si="1"/>
        <v/>
      </c>
      <c r="BD4" s="13" t="str">
        <f t="shared" si="1"/>
        <v/>
      </c>
      <c r="BE4" s="13" t="str">
        <f t="shared" si="1"/>
        <v/>
      </c>
      <c r="BF4" s="13" t="str">
        <f t="shared" si="1"/>
        <v/>
      </c>
      <c r="BG4" s="13" t="str">
        <f t="shared" si="1"/>
        <v/>
      </c>
      <c r="BH4" s="13" t="str">
        <f t="shared" si="1"/>
        <v/>
      </c>
      <c r="BI4" s="13" t="str">
        <f t="shared" si="1"/>
        <v/>
      </c>
      <c r="BJ4" s="13" t="str">
        <f t="shared" si="1"/>
        <v/>
      </c>
      <c r="BK4" s="13" t="str">
        <f t="shared" si="1"/>
        <v/>
      </c>
      <c r="BL4" s="13" t="str">
        <f t="shared" si="1"/>
        <v/>
      </c>
      <c r="BM4" s="13" t="str">
        <f t="shared" si="1"/>
        <v/>
      </c>
      <c r="BN4" s="13" t="str">
        <f t="shared" si="1"/>
        <v/>
      </c>
      <c r="BO4" s="13" t="str">
        <f t="shared" si="1"/>
        <v/>
      </c>
      <c r="BP4" s="13" t="str">
        <f t="shared" si="1"/>
        <v/>
      </c>
      <c r="BQ4" s="13" t="str">
        <f t="shared" si="1"/>
        <v/>
      </c>
      <c r="BR4" s="13" t="str">
        <f t="shared" si="1"/>
        <v/>
      </c>
      <c r="BS4" s="13" t="str">
        <f t="shared" si="1"/>
        <v/>
      </c>
      <c r="BT4" s="13" t="str">
        <f t="shared" si="1"/>
        <v/>
      </c>
      <c r="BU4" s="13" t="str">
        <f t="shared" si="1"/>
        <v/>
      </c>
      <c r="BV4" s="13" t="str">
        <f t="shared" ref="BV4:CJ8" si="2">IF(BV$1&gt;$D4,"",IF($D4=BV$1,1+$C4/4,$C4/4))</f>
        <v/>
      </c>
      <c r="BW4" s="13" t="str">
        <f t="shared" si="2"/>
        <v/>
      </c>
      <c r="BX4" s="13" t="str">
        <f t="shared" si="2"/>
        <v/>
      </c>
      <c r="BY4" s="13" t="str">
        <f t="shared" si="2"/>
        <v/>
      </c>
      <c r="BZ4" s="13" t="str">
        <f t="shared" si="2"/>
        <v/>
      </c>
      <c r="CA4" s="13" t="str">
        <f t="shared" si="2"/>
        <v/>
      </c>
      <c r="CB4" s="13" t="str">
        <f t="shared" si="2"/>
        <v/>
      </c>
      <c r="CC4" s="13" t="str">
        <f t="shared" si="2"/>
        <v/>
      </c>
      <c r="CD4" s="13" t="str">
        <f t="shared" si="2"/>
        <v/>
      </c>
      <c r="CE4" s="13" t="str">
        <f t="shared" si="2"/>
        <v/>
      </c>
      <c r="CF4" s="13" t="str">
        <f t="shared" si="2"/>
        <v/>
      </c>
      <c r="CG4" s="13" t="str">
        <f t="shared" si="2"/>
        <v/>
      </c>
      <c r="CH4" s="13" t="str">
        <f t="shared" si="2"/>
        <v/>
      </c>
      <c r="CI4" s="13" t="str">
        <f t="shared" si="2"/>
        <v/>
      </c>
      <c r="CJ4" s="13" t="str">
        <f t="shared" si="2"/>
        <v/>
      </c>
    </row>
    <row r="5" spans="1:88" x14ac:dyDescent="0.3">
      <c r="A5" s="45" t="s">
        <v>1551</v>
      </c>
      <c r="B5" s="5"/>
      <c r="C5" s="2">
        <f>market_data!H4%</f>
        <v>3.6080000000000001E-2</v>
      </c>
      <c r="D5" s="12">
        <v>9</v>
      </c>
      <c r="E5" s="34">
        <v>9</v>
      </c>
      <c r="F5" s="4">
        <v>0.97342037489517186</v>
      </c>
      <c r="G5" s="15" cm="1">
        <f t="array" ref="G5">SUMPRODUCT(TRANSPOSE($F$3:F5),I5:K5)</f>
        <v>1.0000000000000182</v>
      </c>
      <c r="H5" s="15"/>
      <c r="I5" s="13">
        <f t="shared" ref="I5:X15" si="3">IF(I$1&gt;$D5,"",IF($D5=I$1,1+$C5/4,$C5/4))</f>
        <v>9.0200000000000002E-3</v>
      </c>
      <c r="J5" s="13">
        <f t="shared" si="3"/>
        <v>9.0200000000000002E-3</v>
      </c>
      <c r="K5" s="13">
        <f>IF(K$1&gt;$D5,"",IF($D5=K$1,1+$C5/4,$C5/4))</f>
        <v>1.00902</v>
      </c>
      <c r="L5" s="13" t="str">
        <f t="shared" si="3"/>
        <v/>
      </c>
      <c r="M5" s="13" t="str">
        <f t="shared" si="3"/>
        <v/>
      </c>
      <c r="N5" s="13" t="str">
        <f t="shared" si="3"/>
        <v/>
      </c>
      <c r="O5" s="13" t="str">
        <f t="shared" si="3"/>
        <v/>
      </c>
      <c r="P5" s="13" t="str">
        <f t="shared" si="3"/>
        <v/>
      </c>
      <c r="Q5" s="13" t="str">
        <f t="shared" si="3"/>
        <v/>
      </c>
      <c r="R5" s="13" t="str">
        <f t="shared" si="3"/>
        <v/>
      </c>
      <c r="S5" s="13" t="str">
        <f t="shared" si="3"/>
        <v/>
      </c>
      <c r="T5" s="13" t="str">
        <f t="shared" si="3"/>
        <v/>
      </c>
      <c r="U5" s="13" t="str">
        <f t="shared" si="3"/>
        <v/>
      </c>
      <c r="V5" s="13" t="str">
        <f t="shared" si="3"/>
        <v/>
      </c>
      <c r="W5" s="13" t="str">
        <f t="shared" si="3"/>
        <v/>
      </c>
      <c r="X5" s="13" t="str">
        <f t="shared" si="3"/>
        <v/>
      </c>
      <c r="Y5" s="13" t="str">
        <f t="shared" si="1"/>
        <v/>
      </c>
      <c r="Z5" s="13" t="str">
        <f t="shared" si="1"/>
        <v/>
      </c>
      <c r="AA5" s="13" t="str">
        <f t="shared" si="1"/>
        <v/>
      </c>
      <c r="AB5" s="13" t="str">
        <f t="shared" si="1"/>
        <v/>
      </c>
      <c r="AC5" s="13" t="str">
        <f t="shared" si="1"/>
        <v/>
      </c>
      <c r="AD5" s="13" t="str">
        <f t="shared" si="1"/>
        <v/>
      </c>
      <c r="AE5" s="13" t="str">
        <f t="shared" si="1"/>
        <v/>
      </c>
      <c r="AF5" s="13" t="str">
        <f t="shared" si="1"/>
        <v/>
      </c>
      <c r="AG5" s="13" t="str">
        <f t="shared" si="1"/>
        <v/>
      </c>
      <c r="AH5" s="13" t="str">
        <f t="shared" si="1"/>
        <v/>
      </c>
      <c r="AI5" s="13" t="str">
        <f t="shared" si="1"/>
        <v/>
      </c>
      <c r="AJ5" s="13" t="str">
        <f t="shared" si="1"/>
        <v/>
      </c>
      <c r="AK5" s="13" t="str">
        <f t="shared" si="1"/>
        <v/>
      </c>
      <c r="AL5" s="13" t="str">
        <f t="shared" si="1"/>
        <v/>
      </c>
      <c r="AM5" s="13" t="str">
        <f t="shared" si="1"/>
        <v/>
      </c>
      <c r="AN5" s="13" t="str">
        <f t="shared" si="1"/>
        <v/>
      </c>
      <c r="AO5" s="13" t="str">
        <f t="shared" si="1"/>
        <v/>
      </c>
      <c r="AP5" s="13" t="str">
        <f t="shared" si="1"/>
        <v/>
      </c>
      <c r="AQ5" s="13" t="str">
        <f t="shared" si="1"/>
        <v/>
      </c>
      <c r="AR5" s="13" t="str">
        <f t="shared" si="1"/>
        <v/>
      </c>
      <c r="AS5" s="13" t="str">
        <f t="shared" si="1"/>
        <v/>
      </c>
      <c r="AT5" s="13" t="str">
        <f t="shared" si="1"/>
        <v/>
      </c>
      <c r="AU5" s="13" t="str">
        <f t="shared" si="1"/>
        <v/>
      </c>
      <c r="AV5" s="13" t="str">
        <f t="shared" si="1"/>
        <v/>
      </c>
      <c r="AW5" s="13" t="str">
        <f t="shared" si="1"/>
        <v/>
      </c>
      <c r="AX5" s="13" t="str">
        <f t="shared" si="1"/>
        <v/>
      </c>
      <c r="AY5" s="13" t="str">
        <f t="shared" si="1"/>
        <v/>
      </c>
      <c r="AZ5" s="13" t="str">
        <f t="shared" si="1"/>
        <v/>
      </c>
      <c r="BA5" s="13" t="str">
        <f t="shared" si="1"/>
        <v/>
      </c>
      <c r="BB5" s="13" t="str">
        <f t="shared" si="1"/>
        <v/>
      </c>
      <c r="BC5" s="13" t="str">
        <f t="shared" si="1"/>
        <v/>
      </c>
      <c r="BD5" s="13" t="str">
        <f t="shared" si="1"/>
        <v/>
      </c>
      <c r="BE5" s="13" t="str">
        <f t="shared" si="1"/>
        <v/>
      </c>
      <c r="BF5" s="13" t="str">
        <f t="shared" si="1"/>
        <v/>
      </c>
      <c r="BG5" s="13" t="str">
        <f t="shared" si="1"/>
        <v/>
      </c>
      <c r="BH5" s="13" t="str">
        <f t="shared" si="1"/>
        <v/>
      </c>
      <c r="BI5" s="13" t="str">
        <f t="shared" si="1"/>
        <v/>
      </c>
      <c r="BJ5" s="13" t="str">
        <f t="shared" si="1"/>
        <v/>
      </c>
      <c r="BK5" s="13" t="str">
        <f t="shared" si="1"/>
        <v/>
      </c>
      <c r="BL5" s="13" t="str">
        <f t="shared" si="1"/>
        <v/>
      </c>
      <c r="BM5" s="13" t="str">
        <f t="shared" si="1"/>
        <v/>
      </c>
      <c r="BN5" s="13" t="str">
        <f t="shared" si="1"/>
        <v/>
      </c>
      <c r="BO5" s="13" t="str">
        <f t="shared" si="1"/>
        <v/>
      </c>
      <c r="BP5" s="13" t="str">
        <f t="shared" si="1"/>
        <v/>
      </c>
      <c r="BQ5" s="13" t="str">
        <f t="shared" si="1"/>
        <v/>
      </c>
      <c r="BR5" s="13" t="str">
        <f t="shared" si="1"/>
        <v/>
      </c>
      <c r="BS5" s="13" t="str">
        <f t="shared" si="1"/>
        <v/>
      </c>
      <c r="BT5" s="13" t="str">
        <f t="shared" si="1"/>
        <v/>
      </c>
      <c r="BU5" s="13" t="str">
        <f t="shared" si="1"/>
        <v/>
      </c>
      <c r="BV5" s="13" t="str">
        <f t="shared" si="2"/>
        <v/>
      </c>
      <c r="BW5" s="13" t="str">
        <f t="shared" si="2"/>
        <v/>
      </c>
      <c r="BX5" s="13" t="str">
        <f t="shared" si="2"/>
        <v/>
      </c>
      <c r="BY5" s="13" t="str">
        <f t="shared" si="2"/>
        <v/>
      </c>
      <c r="BZ5" s="13" t="str">
        <f t="shared" si="2"/>
        <v/>
      </c>
      <c r="CA5" s="13" t="str">
        <f t="shared" si="2"/>
        <v/>
      </c>
      <c r="CB5" s="13" t="str">
        <f t="shared" si="2"/>
        <v/>
      </c>
      <c r="CC5" s="13" t="str">
        <f t="shared" si="2"/>
        <v/>
      </c>
      <c r="CD5" s="13" t="str">
        <f t="shared" si="2"/>
        <v/>
      </c>
      <c r="CE5" s="13" t="str">
        <f t="shared" si="2"/>
        <v/>
      </c>
      <c r="CF5" s="13" t="str">
        <f t="shared" si="2"/>
        <v/>
      </c>
      <c r="CG5" s="13" t="str">
        <f t="shared" si="2"/>
        <v/>
      </c>
      <c r="CH5" s="13" t="str">
        <f t="shared" si="2"/>
        <v/>
      </c>
      <c r="CI5" s="13" t="str">
        <f t="shared" si="2"/>
        <v/>
      </c>
      <c r="CJ5" s="13" t="str">
        <f t="shared" si="2"/>
        <v/>
      </c>
    </row>
    <row r="6" spans="1:88" x14ac:dyDescent="0.3">
      <c r="A6" s="45" t="s">
        <v>1553</v>
      </c>
      <c r="B6" s="5"/>
      <c r="C6" s="2">
        <f>market_data!H5%</f>
        <v>3.6200000000000003E-2</v>
      </c>
      <c r="D6" s="12">
        <v>12</v>
      </c>
      <c r="E6" s="34">
        <v>12</v>
      </c>
      <c r="F6" s="4">
        <v>0.96460232158404957</v>
      </c>
      <c r="G6" s="15" cm="1">
        <f t="array" ref="G6">SUMPRODUCT(F3:F6,TRANSPOSE(I6:L6))</f>
        <v>1.0000000000000238</v>
      </c>
      <c r="H6" s="15"/>
      <c r="I6" s="13">
        <f t="shared" si="3"/>
        <v>9.0500000000000008E-3</v>
      </c>
      <c r="J6" s="13">
        <f t="shared" ref="J6:BU9" si="4">IF(J$1&gt;$D6,"",IF($D6=J$1,1+$C6/4,$C6/4))</f>
        <v>9.0500000000000008E-3</v>
      </c>
      <c r="K6" s="13">
        <f t="shared" si="4"/>
        <v>9.0500000000000008E-3</v>
      </c>
      <c r="L6" s="13">
        <f t="shared" si="4"/>
        <v>1.00905</v>
      </c>
      <c r="M6" s="13" t="str">
        <f t="shared" si="4"/>
        <v/>
      </c>
      <c r="N6" s="13" t="str">
        <f t="shared" si="4"/>
        <v/>
      </c>
      <c r="O6" s="13" t="str">
        <f t="shared" si="4"/>
        <v/>
      </c>
      <c r="P6" s="13" t="str">
        <f t="shared" si="4"/>
        <v/>
      </c>
      <c r="Q6" s="13" t="str">
        <f t="shared" si="4"/>
        <v/>
      </c>
      <c r="R6" s="13" t="str">
        <f t="shared" si="4"/>
        <v/>
      </c>
      <c r="S6" s="13" t="str">
        <f t="shared" si="4"/>
        <v/>
      </c>
      <c r="T6" s="13" t="str">
        <f t="shared" si="4"/>
        <v/>
      </c>
      <c r="U6" s="13" t="str">
        <f t="shared" si="4"/>
        <v/>
      </c>
      <c r="V6" s="13" t="str">
        <f t="shared" si="4"/>
        <v/>
      </c>
      <c r="W6" s="13" t="str">
        <f t="shared" si="4"/>
        <v/>
      </c>
      <c r="X6" s="13" t="str">
        <f t="shared" si="4"/>
        <v/>
      </c>
      <c r="Y6" s="13" t="str">
        <f t="shared" si="4"/>
        <v/>
      </c>
      <c r="Z6" s="13" t="str">
        <f t="shared" si="4"/>
        <v/>
      </c>
      <c r="AA6" s="13" t="str">
        <f t="shared" si="4"/>
        <v/>
      </c>
      <c r="AB6" s="13" t="str">
        <f t="shared" si="4"/>
        <v/>
      </c>
      <c r="AC6" s="13" t="str">
        <f t="shared" si="4"/>
        <v/>
      </c>
      <c r="AD6" s="13" t="str">
        <f t="shared" si="4"/>
        <v/>
      </c>
      <c r="AE6" s="13" t="str">
        <f t="shared" si="4"/>
        <v/>
      </c>
      <c r="AF6" s="13" t="str">
        <f t="shared" si="4"/>
        <v/>
      </c>
      <c r="AG6" s="13" t="str">
        <f t="shared" si="4"/>
        <v/>
      </c>
      <c r="AH6" s="13" t="str">
        <f t="shared" si="4"/>
        <v/>
      </c>
      <c r="AI6" s="13" t="str">
        <f t="shared" si="4"/>
        <v/>
      </c>
      <c r="AJ6" s="13" t="str">
        <f t="shared" si="4"/>
        <v/>
      </c>
      <c r="AK6" s="13" t="str">
        <f t="shared" si="4"/>
        <v/>
      </c>
      <c r="AL6" s="13" t="str">
        <f t="shared" si="4"/>
        <v/>
      </c>
      <c r="AM6" s="13" t="str">
        <f t="shared" si="4"/>
        <v/>
      </c>
      <c r="AN6" s="13" t="str">
        <f t="shared" si="4"/>
        <v/>
      </c>
      <c r="AO6" s="13" t="str">
        <f t="shared" si="4"/>
        <v/>
      </c>
      <c r="AP6" s="13" t="str">
        <f t="shared" si="4"/>
        <v/>
      </c>
      <c r="AQ6" s="13" t="str">
        <f t="shared" si="4"/>
        <v/>
      </c>
      <c r="AR6" s="13" t="str">
        <f t="shared" si="4"/>
        <v/>
      </c>
      <c r="AS6" s="13" t="str">
        <f t="shared" si="4"/>
        <v/>
      </c>
      <c r="AT6" s="13" t="str">
        <f t="shared" si="4"/>
        <v/>
      </c>
      <c r="AU6" s="13" t="str">
        <f t="shared" si="4"/>
        <v/>
      </c>
      <c r="AV6" s="13" t="str">
        <f t="shared" si="4"/>
        <v/>
      </c>
      <c r="AW6" s="13" t="str">
        <f t="shared" si="4"/>
        <v/>
      </c>
      <c r="AX6" s="13" t="str">
        <f t="shared" si="4"/>
        <v/>
      </c>
      <c r="AY6" s="13" t="str">
        <f t="shared" si="4"/>
        <v/>
      </c>
      <c r="AZ6" s="13" t="str">
        <f t="shared" si="4"/>
        <v/>
      </c>
      <c r="BA6" s="13" t="str">
        <f t="shared" si="4"/>
        <v/>
      </c>
      <c r="BB6" s="13" t="str">
        <f t="shared" si="4"/>
        <v/>
      </c>
      <c r="BC6" s="13" t="str">
        <f t="shared" si="4"/>
        <v/>
      </c>
      <c r="BD6" s="13" t="str">
        <f t="shared" si="4"/>
        <v/>
      </c>
      <c r="BE6" s="13" t="str">
        <f t="shared" si="4"/>
        <v/>
      </c>
      <c r="BF6" s="13" t="str">
        <f t="shared" si="4"/>
        <v/>
      </c>
      <c r="BG6" s="13" t="str">
        <f t="shared" si="4"/>
        <v/>
      </c>
      <c r="BH6" s="13" t="str">
        <f t="shared" si="4"/>
        <v/>
      </c>
      <c r="BI6" s="13" t="str">
        <f t="shared" si="4"/>
        <v/>
      </c>
      <c r="BJ6" s="13" t="str">
        <f t="shared" si="4"/>
        <v/>
      </c>
      <c r="BK6" s="13" t="str">
        <f t="shared" si="4"/>
        <v/>
      </c>
      <c r="BL6" s="13" t="str">
        <f t="shared" si="4"/>
        <v/>
      </c>
      <c r="BM6" s="13" t="str">
        <f t="shared" si="4"/>
        <v/>
      </c>
      <c r="BN6" s="13" t="str">
        <f t="shared" si="4"/>
        <v/>
      </c>
      <c r="BO6" s="13" t="str">
        <f t="shared" si="4"/>
        <v/>
      </c>
      <c r="BP6" s="13" t="str">
        <f t="shared" si="4"/>
        <v/>
      </c>
      <c r="BQ6" s="13" t="str">
        <f t="shared" si="4"/>
        <v/>
      </c>
      <c r="BR6" s="13" t="str">
        <f t="shared" si="4"/>
        <v/>
      </c>
      <c r="BS6" s="13" t="str">
        <f t="shared" si="4"/>
        <v/>
      </c>
      <c r="BT6" s="13" t="str">
        <f t="shared" si="4"/>
        <v/>
      </c>
      <c r="BU6" s="13" t="str">
        <f t="shared" si="4"/>
        <v/>
      </c>
      <c r="BV6" s="13" t="str">
        <f t="shared" si="2"/>
        <v/>
      </c>
      <c r="BW6" s="13" t="str">
        <f t="shared" si="2"/>
        <v/>
      </c>
      <c r="BX6" s="13" t="str">
        <f t="shared" si="2"/>
        <v/>
      </c>
      <c r="BY6" s="13" t="str">
        <f t="shared" si="2"/>
        <v/>
      </c>
      <c r="BZ6" s="13" t="str">
        <f t="shared" si="2"/>
        <v/>
      </c>
      <c r="CA6" s="13" t="str">
        <f t="shared" si="2"/>
        <v/>
      </c>
      <c r="CB6" s="13" t="str">
        <f t="shared" si="2"/>
        <v/>
      </c>
      <c r="CC6" s="13" t="str">
        <f t="shared" si="2"/>
        <v/>
      </c>
      <c r="CD6" s="13" t="str">
        <f t="shared" si="2"/>
        <v/>
      </c>
      <c r="CE6" s="13" t="str">
        <f t="shared" si="2"/>
        <v/>
      </c>
      <c r="CF6" s="13" t="str">
        <f t="shared" si="2"/>
        <v/>
      </c>
      <c r="CG6" s="13" t="str">
        <f t="shared" si="2"/>
        <v/>
      </c>
      <c r="CH6" s="13" t="str">
        <f t="shared" si="2"/>
        <v/>
      </c>
      <c r="CI6" s="13" t="str">
        <f t="shared" si="2"/>
        <v/>
      </c>
      <c r="CJ6" s="13" t="str">
        <f t="shared" si="2"/>
        <v/>
      </c>
    </row>
    <row r="7" spans="1:88" x14ac:dyDescent="0.3">
      <c r="A7" s="45" t="s">
        <v>1557</v>
      </c>
      <c r="B7" s="5"/>
      <c r="C7" s="2">
        <f>market_data!H6%</f>
        <v>3.5750000000000004E-2</v>
      </c>
      <c r="D7" s="12">
        <v>24</v>
      </c>
      <c r="E7" s="12">
        <v>15</v>
      </c>
      <c r="F7" s="4">
        <f>(F10-F6)/(E10-E6)*(E7-E6)+F6</f>
        <v>0.95627720916283054</v>
      </c>
      <c r="G7" s="15"/>
      <c r="H7" s="15"/>
      <c r="I7" s="13">
        <f t="shared" si="3"/>
        <v>8.937500000000001E-3</v>
      </c>
      <c r="J7" s="13">
        <f t="shared" si="4"/>
        <v>8.937500000000001E-3</v>
      </c>
      <c r="K7" s="13">
        <f t="shared" si="4"/>
        <v>8.937500000000001E-3</v>
      </c>
      <c r="L7" s="13">
        <f t="shared" si="4"/>
        <v>8.937500000000001E-3</v>
      </c>
      <c r="M7" s="13">
        <f t="shared" si="4"/>
        <v>8.937500000000001E-3</v>
      </c>
      <c r="N7" s="13">
        <f t="shared" si="4"/>
        <v>8.937500000000001E-3</v>
      </c>
      <c r="O7" s="13">
        <f t="shared" si="4"/>
        <v>8.937500000000001E-3</v>
      </c>
      <c r="P7" s="13">
        <f t="shared" si="4"/>
        <v>1.0089375</v>
      </c>
      <c r="Q7" s="13" t="str">
        <f t="shared" si="4"/>
        <v/>
      </c>
      <c r="R7" s="13" t="str">
        <f t="shared" si="4"/>
        <v/>
      </c>
      <c r="S7" s="13" t="str">
        <f t="shared" si="4"/>
        <v/>
      </c>
      <c r="T7" s="13" t="str">
        <f t="shared" si="4"/>
        <v/>
      </c>
      <c r="U7" s="13" t="str">
        <f t="shared" si="4"/>
        <v/>
      </c>
      <c r="V7" s="13" t="str">
        <f t="shared" si="4"/>
        <v/>
      </c>
      <c r="W7" s="13" t="str">
        <f t="shared" si="4"/>
        <v/>
      </c>
      <c r="X7" s="13" t="str">
        <f t="shared" si="4"/>
        <v/>
      </c>
      <c r="Y7" s="13" t="str">
        <f t="shared" si="4"/>
        <v/>
      </c>
      <c r="Z7" s="13" t="str">
        <f t="shared" si="4"/>
        <v/>
      </c>
      <c r="AA7" s="13" t="str">
        <f t="shared" si="4"/>
        <v/>
      </c>
      <c r="AB7" s="13" t="str">
        <f t="shared" si="4"/>
        <v/>
      </c>
      <c r="AC7" s="13" t="str">
        <f t="shared" si="4"/>
        <v/>
      </c>
      <c r="AD7" s="13" t="str">
        <f t="shared" si="4"/>
        <v/>
      </c>
      <c r="AE7" s="13" t="str">
        <f t="shared" si="4"/>
        <v/>
      </c>
      <c r="AF7" s="13" t="str">
        <f t="shared" si="4"/>
        <v/>
      </c>
      <c r="AG7" s="13" t="str">
        <f t="shared" si="4"/>
        <v/>
      </c>
      <c r="AH7" s="13" t="str">
        <f t="shared" si="4"/>
        <v/>
      </c>
      <c r="AI7" s="13" t="str">
        <f t="shared" si="4"/>
        <v/>
      </c>
      <c r="AJ7" s="13" t="str">
        <f t="shared" si="4"/>
        <v/>
      </c>
      <c r="AK7" s="13" t="str">
        <f t="shared" si="4"/>
        <v/>
      </c>
      <c r="AL7" s="13" t="str">
        <f t="shared" si="4"/>
        <v/>
      </c>
      <c r="AM7" s="13" t="str">
        <f t="shared" si="4"/>
        <v/>
      </c>
      <c r="AN7" s="13" t="str">
        <f t="shared" si="4"/>
        <v/>
      </c>
      <c r="AO7" s="13" t="str">
        <f t="shared" si="4"/>
        <v/>
      </c>
      <c r="AP7" s="13" t="str">
        <f t="shared" si="4"/>
        <v/>
      </c>
      <c r="AQ7" s="13" t="str">
        <f t="shared" si="4"/>
        <v/>
      </c>
      <c r="AR7" s="13" t="str">
        <f t="shared" si="4"/>
        <v/>
      </c>
      <c r="AS7" s="13" t="str">
        <f t="shared" si="4"/>
        <v/>
      </c>
      <c r="AT7" s="13" t="str">
        <f t="shared" si="4"/>
        <v/>
      </c>
      <c r="AU7" s="13" t="str">
        <f t="shared" si="4"/>
        <v/>
      </c>
      <c r="AV7" s="13" t="str">
        <f t="shared" si="4"/>
        <v/>
      </c>
      <c r="AW7" s="13" t="str">
        <f t="shared" si="4"/>
        <v/>
      </c>
      <c r="AX7" s="13" t="str">
        <f t="shared" si="4"/>
        <v/>
      </c>
      <c r="AY7" s="13" t="str">
        <f t="shared" si="4"/>
        <v/>
      </c>
      <c r="AZ7" s="13" t="str">
        <f t="shared" si="4"/>
        <v/>
      </c>
      <c r="BA7" s="13" t="str">
        <f t="shared" si="4"/>
        <v/>
      </c>
      <c r="BB7" s="13" t="str">
        <f t="shared" si="4"/>
        <v/>
      </c>
      <c r="BC7" s="13" t="str">
        <f t="shared" si="4"/>
        <v/>
      </c>
      <c r="BD7" s="13" t="str">
        <f t="shared" si="4"/>
        <v/>
      </c>
      <c r="BE7" s="13" t="str">
        <f t="shared" si="4"/>
        <v/>
      </c>
      <c r="BF7" s="13" t="str">
        <f t="shared" si="4"/>
        <v/>
      </c>
      <c r="BG7" s="13" t="str">
        <f t="shared" si="4"/>
        <v/>
      </c>
      <c r="BH7" s="13" t="str">
        <f t="shared" si="4"/>
        <v/>
      </c>
      <c r="BI7" s="13" t="str">
        <f t="shared" si="4"/>
        <v/>
      </c>
      <c r="BJ7" s="13" t="str">
        <f t="shared" si="4"/>
        <v/>
      </c>
      <c r="BK7" s="13" t="str">
        <f t="shared" si="4"/>
        <v/>
      </c>
      <c r="BL7" s="13" t="str">
        <f t="shared" si="4"/>
        <v/>
      </c>
      <c r="BM7" s="13" t="str">
        <f t="shared" si="4"/>
        <v/>
      </c>
      <c r="BN7" s="13" t="str">
        <f t="shared" si="4"/>
        <v/>
      </c>
      <c r="BO7" s="13" t="str">
        <f t="shared" si="4"/>
        <v/>
      </c>
      <c r="BP7" s="13" t="str">
        <f t="shared" si="4"/>
        <v/>
      </c>
      <c r="BQ7" s="13" t="str">
        <f t="shared" si="4"/>
        <v/>
      </c>
      <c r="BR7" s="13" t="str">
        <f t="shared" si="4"/>
        <v/>
      </c>
      <c r="BS7" s="13" t="str">
        <f t="shared" si="4"/>
        <v/>
      </c>
      <c r="BT7" s="13" t="str">
        <f t="shared" si="4"/>
        <v/>
      </c>
      <c r="BU7" s="13" t="str">
        <f t="shared" si="4"/>
        <v/>
      </c>
      <c r="BV7" s="13" t="str">
        <f t="shared" si="2"/>
        <v/>
      </c>
      <c r="BW7" s="13" t="str">
        <f t="shared" si="2"/>
        <v/>
      </c>
      <c r="BX7" s="13" t="str">
        <f t="shared" si="2"/>
        <v/>
      </c>
      <c r="BY7" s="13" t="str">
        <f t="shared" si="2"/>
        <v/>
      </c>
      <c r="BZ7" s="13" t="str">
        <f t="shared" si="2"/>
        <v/>
      </c>
      <c r="CA7" s="13" t="str">
        <f t="shared" si="2"/>
        <v/>
      </c>
      <c r="CB7" s="13" t="str">
        <f t="shared" si="2"/>
        <v/>
      </c>
      <c r="CC7" s="13" t="str">
        <f t="shared" si="2"/>
        <v/>
      </c>
      <c r="CD7" s="13" t="str">
        <f t="shared" si="2"/>
        <v/>
      </c>
      <c r="CE7" s="13" t="str">
        <f t="shared" si="2"/>
        <v/>
      </c>
      <c r="CF7" s="13" t="str">
        <f t="shared" si="2"/>
        <v/>
      </c>
      <c r="CG7" s="13" t="str">
        <f t="shared" si="2"/>
        <v/>
      </c>
      <c r="CH7" s="13" t="str">
        <f t="shared" si="2"/>
        <v/>
      </c>
      <c r="CI7" s="13" t="str">
        <f t="shared" si="2"/>
        <v/>
      </c>
      <c r="CJ7" s="13" t="str">
        <f t="shared" si="2"/>
        <v/>
      </c>
    </row>
    <row r="8" spans="1:88" x14ac:dyDescent="0.3">
      <c r="A8" s="45" t="s">
        <v>1561</v>
      </c>
      <c r="B8" s="5"/>
      <c r="C8" s="2">
        <f>market_data!H7%</f>
        <v>3.5549999999999998E-2</v>
      </c>
      <c r="D8" s="12">
        <v>36</v>
      </c>
      <c r="E8" s="12">
        <v>18</v>
      </c>
      <c r="F8" s="4">
        <f>(F10-F6)/(E10-E6)*(E8-E6)+F6</f>
        <v>0.94795209674161152</v>
      </c>
      <c r="G8" s="15"/>
      <c r="H8" s="15"/>
      <c r="I8" s="13">
        <f t="shared" si="3"/>
        <v>8.8874999999999996E-3</v>
      </c>
      <c r="J8" s="13">
        <f t="shared" si="4"/>
        <v>8.8874999999999996E-3</v>
      </c>
      <c r="K8" s="13">
        <f t="shared" si="4"/>
        <v>8.8874999999999996E-3</v>
      </c>
      <c r="L8" s="13">
        <f t="shared" si="4"/>
        <v>8.8874999999999996E-3</v>
      </c>
      <c r="M8" s="13">
        <f t="shared" si="4"/>
        <v>8.8874999999999996E-3</v>
      </c>
      <c r="N8" s="13">
        <f t="shared" si="4"/>
        <v>8.8874999999999996E-3</v>
      </c>
      <c r="O8" s="13">
        <f t="shared" si="4"/>
        <v>8.8874999999999996E-3</v>
      </c>
      <c r="P8" s="13">
        <f t="shared" si="4"/>
        <v>8.8874999999999996E-3</v>
      </c>
      <c r="Q8" s="13">
        <f t="shared" si="4"/>
        <v>8.8874999999999996E-3</v>
      </c>
      <c r="R8" s="13">
        <f t="shared" si="4"/>
        <v>8.8874999999999996E-3</v>
      </c>
      <c r="S8" s="13">
        <f t="shared" si="4"/>
        <v>8.8874999999999996E-3</v>
      </c>
      <c r="T8" s="13">
        <f t="shared" si="4"/>
        <v>1.0088874999999999</v>
      </c>
      <c r="U8" s="13" t="str">
        <f t="shared" si="4"/>
        <v/>
      </c>
      <c r="V8" s="13" t="str">
        <f t="shared" si="4"/>
        <v/>
      </c>
      <c r="W8" s="13" t="str">
        <f t="shared" si="4"/>
        <v/>
      </c>
      <c r="X8" s="13" t="str">
        <f t="shared" si="4"/>
        <v/>
      </c>
      <c r="Y8" s="13" t="str">
        <f t="shared" si="4"/>
        <v/>
      </c>
      <c r="Z8" s="13" t="str">
        <f t="shared" si="4"/>
        <v/>
      </c>
      <c r="AA8" s="13" t="str">
        <f t="shared" si="4"/>
        <v/>
      </c>
      <c r="AB8" s="13" t="str">
        <f t="shared" si="4"/>
        <v/>
      </c>
      <c r="AC8" s="13" t="str">
        <f t="shared" si="4"/>
        <v/>
      </c>
      <c r="AD8" s="13" t="str">
        <f t="shared" si="4"/>
        <v/>
      </c>
      <c r="AE8" s="13" t="str">
        <f t="shared" si="4"/>
        <v/>
      </c>
      <c r="AF8" s="13" t="str">
        <f t="shared" si="4"/>
        <v/>
      </c>
      <c r="AG8" s="13" t="str">
        <f t="shared" si="4"/>
        <v/>
      </c>
      <c r="AH8" s="13" t="str">
        <f t="shared" si="4"/>
        <v/>
      </c>
      <c r="AI8" s="13" t="str">
        <f t="shared" si="4"/>
        <v/>
      </c>
      <c r="AJ8" s="13" t="str">
        <f t="shared" si="4"/>
        <v/>
      </c>
      <c r="AK8" s="13" t="str">
        <f t="shared" si="4"/>
        <v/>
      </c>
      <c r="AL8" s="13" t="str">
        <f t="shared" si="4"/>
        <v/>
      </c>
      <c r="AM8" s="13" t="str">
        <f t="shared" si="4"/>
        <v/>
      </c>
      <c r="AN8" s="13" t="str">
        <f t="shared" si="4"/>
        <v/>
      </c>
      <c r="AO8" s="13" t="str">
        <f t="shared" si="4"/>
        <v/>
      </c>
      <c r="AP8" s="13" t="str">
        <f t="shared" si="4"/>
        <v/>
      </c>
      <c r="AQ8" s="13" t="str">
        <f t="shared" si="4"/>
        <v/>
      </c>
      <c r="AR8" s="13" t="str">
        <f t="shared" si="4"/>
        <v/>
      </c>
      <c r="AS8" s="13" t="str">
        <f t="shared" si="4"/>
        <v/>
      </c>
      <c r="AT8" s="13" t="str">
        <f t="shared" si="4"/>
        <v/>
      </c>
      <c r="AU8" s="13" t="str">
        <f t="shared" si="4"/>
        <v/>
      </c>
      <c r="AV8" s="13" t="str">
        <f t="shared" si="4"/>
        <v/>
      </c>
      <c r="AW8" s="13" t="str">
        <f t="shared" si="4"/>
        <v/>
      </c>
      <c r="AX8" s="13" t="str">
        <f t="shared" si="4"/>
        <v/>
      </c>
      <c r="AY8" s="13" t="str">
        <f t="shared" si="4"/>
        <v/>
      </c>
      <c r="AZ8" s="13" t="str">
        <f t="shared" si="4"/>
        <v/>
      </c>
      <c r="BA8" s="13" t="str">
        <f t="shared" si="4"/>
        <v/>
      </c>
      <c r="BB8" s="13" t="str">
        <f t="shared" si="4"/>
        <v/>
      </c>
      <c r="BC8" s="13" t="str">
        <f t="shared" si="4"/>
        <v/>
      </c>
      <c r="BD8" s="13" t="str">
        <f t="shared" si="4"/>
        <v/>
      </c>
      <c r="BE8" s="13" t="str">
        <f t="shared" si="4"/>
        <v/>
      </c>
      <c r="BF8" s="13" t="str">
        <f t="shared" si="4"/>
        <v/>
      </c>
      <c r="BG8" s="13" t="str">
        <f t="shared" si="4"/>
        <v/>
      </c>
      <c r="BH8" s="13" t="str">
        <f t="shared" si="4"/>
        <v/>
      </c>
      <c r="BI8" s="13" t="str">
        <f t="shared" si="4"/>
        <v/>
      </c>
      <c r="BJ8" s="13" t="str">
        <f t="shared" si="4"/>
        <v/>
      </c>
      <c r="BK8" s="13" t="str">
        <f t="shared" si="4"/>
        <v/>
      </c>
      <c r="BL8" s="13" t="str">
        <f t="shared" si="4"/>
        <v/>
      </c>
      <c r="BM8" s="13" t="str">
        <f t="shared" si="4"/>
        <v/>
      </c>
      <c r="BN8" s="13" t="str">
        <f t="shared" si="4"/>
        <v/>
      </c>
      <c r="BO8" s="13" t="str">
        <f t="shared" si="4"/>
        <v/>
      </c>
      <c r="BP8" s="13" t="str">
        <f t="shared" si="4"/>
        <v/>
      </c>
      <c r="BQ8" s="13" t="str">
        <f t="shared" si="4"/>
        <v/>
      </c>
      <c r="BR8" s="13" t="str">
        <f t="shared" si="4"/>
        <v/>
      </c>
      <c r="BS8" s="13" t="str">
        <f t="shared" si="4"/>
        <v/>
      </c>
      <c r="BT8" s="13" t="str">
        <f t="shared" si="4"/>
        <v/>
      </c>
      <c r="BU8" s="13" t="str">
        <f t="shared" si="4"/>
        <v/>
      </c>
      <c r="BV8" s="13" t="str">
        <f t="shared" si="2"/>
        <v/>
      </c>
      <c r="BW8" s="13" t="str">
        <f t="shared" si="2"/>
        <v/>
      </c>
      <c r="BX8" s="13" t="str">
        <f t="shared" si="2"/>
        <v/>
      </c>
      <c r="BY8" s="13" t="str">
        <f t="shared" si="2"/>
        <v/>
      </c>
      <c r="BZ8" s="13" t="str">
        <f t="shared" si="2"/>
        <v/>
      </c>
      <c r="CA8" s="13" t="str">
        <f t="shared" si="2"/>
        <v/>
      </c>
      <c r="CB8" s="13" t="str">
        <f t="shared" si="2"/>
        <v/>
      </c>
      <c r="CC8" s="13" t="str">
        <f t="shared" si="2"/>
        <v/>
      </c>
      <c r="CD8" s="13" t="str">
        <f t="shared" si="2"/>
        <v/>
      </c>
      <c r="CE8" s="13" t="str">
        <f t="shared" si="2"/>
        <v/>
      </c>
      <c r="CF8" s="13" t="str">
        <f t="shared" si="2"/>
        <v/>
      </c>
      <c r="CG8" s="13" t="str">
        <f t="shared" si="2"/>
        <v/>
      </c>
      <c r="CH8" s="13" t="str">
        <f t="shared" si="2"/>
        <v/>
      </c>
      <c r="CI8" s="13" t="str">
        <f t="shared" si="2"/>
        <v/>
      </c>
      <c r="CJ8" s="13" t="str">
        <f t="shared" si="2"/>
        <v/>
      </c>
    </row>
    <row r="9" spans="1:88" x14ac:dyDescent="0.3">
      <c r="A9" s="45" t="s">
        <v>1565</v>
      </c>
      <c r="B9" s="5"/>
      <c r="C9" s="2">
        <f>market_data!H8%</f>
        <v>3.56E-2</v>
      </c>
      <c r="D9" s="12">
        <v>48</v>
      </c>
      <c r="E9" s="12">
        <v>21</v>
      </c>
      <c r="F9" s="4">
        <f>(F10-F6)/(E10-E6)*(E9-E6)+F6</f>
        <v>0.93962698432039238</v>
      </c>
      <c r="G9" s="15"/>
      <c r="H9" s="15"/>
      <c r="I9" s="13">
        <f t="shared" si="3"/>
        <v>8.8999999999999999E-3</v>
      </c>
      <c r="J9" s="13">
        <f t="shared" si="4"/>
        <v>8.8999999999999999E-3</v>
      </c>
      <c r="K9" s="13">
        <f t="shared" si="4"/>
        <v>8.8999999999999999E-3</v>
      </c>
      <c r="L9" s="13">
        <f t="shared" si="4"/>
        <v>8.8999999999999999E-3</v>
      </c>
      <c r="M9" s="13">
        <f t="shared" si="4"/>
        <v>8.8999999999999999E-3</v>
      </c>
      <c r="N9" s="13">
        <f t="shared" si="4"/>
        <v>8.8999999999999999E-3</v>
      </c>
      <c r="O9" s="13">
        <f t="shared" si="4"/>
        <v>8.8999999999999999E-3</v>
      </c>
      <c r="P9" s="13">
        <f t="shared" si="4"/>
        <v>8.8999999999999999E-3</v>
      </c>
      <c r="Q9" s="13">
        <f t="shared" si="4"/>
        <v>8.8999999999999999E-3</v>
      </c>
      <c r="R9" s="13">
        <f t="shared" si="4"/>
        <v>8.8999999999999999E-3</v>
      </c>
      <c r="S9" s="13">
        <f t="shared" si="4"/>
        <v>8.8999999999999999E-3</v>
      </c>
      <c r="T9" s="13">
        <f t="shared" si="4"/>
        <v>8.8999999999999999E-3</v>
      </c>
      <c r="U9" s="13">
        <f t="shared" si="4"/>
        <v>8.8999999999999999E-3</v>
      </c>
      <c r="V9" s="13">
        <f t="shared" si="4"/>
        <v>8.8999999999999999E-3</v>
      </c>
      <c r="W9" s="13">
        <f t="shared" si="4"/>
        <v>8.8999999999999999E-3</v>
      </c>
      <c r="X9" s="13">
        <f t="shared" si="4"/>
        <v>1.0088999999999999</v>
      </c>
      <c r="Y9" s="13" t="str">
        <f t="shared" si="4"/>
        <v/>
      </c>
      <c r="Z9" s="13" t="str">
        <f t="shared" si="4"/>
        <v/>
      </c>
      <c r="AA9" s="13" t="str">
        <f t="shared" si="4"/>
        <v/>
      </c>
      <c r="AB9" s="13" t="str">
        <f t="shared" si="4"/>
        <v/>
      </c>
      <c r="AC9" s="13" t="str">
        <f t="shared" si="4"/>
        <v/>
      </c>
      <c r="AD9" s="13" t="str">
        <f t="shared" si="4"/>
        <v/>
      </c>
      <c r="AE9" s="13" t="str">
        <f t="shared" si="4"/>
        <v/>
      </c>
      <c r="AF9" s="13" t="str">
        <f t="shared" si="4"/>
        <v/>
      </c>
      <c r="AG9" s="13" t="str">
        <f t="shared" si="4"/>
        <v/>
      </c>
      <c r="AH9" s="13" t="str">
        <f t="shared" si="4"/>
        <v/>
      </c>
      <c r="AI9" s="13" t="str">
        <f t="shared" si="4"/>
        <v/>
      </c>
      <c r="AJ9" s="13" t="str">
        <f t="shared" si="4"/>
        <v/>
      </c>
      <c r="AK9" s="13" t="str">
        <f t="shared" si="4"/>
        <v/>
      </c>
      <c r="AL9" s="13" t="str">
        <f t="shared" si="4"/>
        <v/>
      </c>
      <c r="AM9" s="13" t="str">
        <f t="shared" si="4"/>
        <v/>
      </c>
      <c r="AN9" s="13" t="str">
        <f t="shared" si="4"/>
        <v/>
      </c>
      <c r="AO9" s="13" t="str">
        <f t="shared" si="4"/>
        <v/>
      </c>
      <c r="AP9" s="13" t="str">
        <f t="shared" si="4"/>
        <v/>
      </c>
      <c r="AQ9" s="13" t="str">
        <f t="shared" si="4"/>
        <v/>
      </c>
      <c r="AR9" s="13" t="str">
        <f t="shared" si="4"/>
        <v/>
      </c>
      <c r="AS9" s="13" t="str">
        <f t="shared" si="4"/>
        <v/>
      </c>
      <c r="AT9" s="13" t="str">
        <f t="shared" si="4"/>
        <v/>
      </c>
      <c r="AU9" s="13" t="str">
        <f t="shared" si="4"/>
        <v/>
      </c>
      <c r="AV9" s="13" t="str">
        <f t="shared" si="4"/>
        <v/>
      </c>
      <c r="AW9" s="13" t="str">
        <f t="shared" si="4"/>
        <v/>
      </c>
      <c r="AX9" s="13" t="str">
        <f t="shared" si="4"/>
        <v/>
      </c>
      <c r="AY9" s="13" t="str">
        <f t="shared" si="4"/>
        <v/>
      </c>
      <c r="AZ9" s="13" t="str">
        <f t="shared" si="4"/>
        <v/>
      </c>
      <c r="BA9" s="13" t="str">
        <f t="shared" si="4"/>
        <v/>
      </c>
      <c r="BB9" s="13" t="str">
        <f t="shared" si="4"/>
        <v/>
      </c>
      <c r="BC9" s="13" t="str">
        <f t="shared" si="4"/>
        <v/>
      </c>
      <c r="BD9" s="13" t="str">
        <f t="shared" si="4"/>
        <v/>
      </c>
      <c r="BE9" s="13" t="str">
        <f t="shared" si="4"/>
        <v/>
      </c>
      <c r="BF9" s="13" t="str">
        <f t="shared" si="4"/>
        <v/>
      </c>
      <c r="BG9" s="13" t="str">
        <f t="shared" si="4"/>
        <v/>
      </c>
      <c r="BH9" s="13" t="str">
        <f t="shared" si="4"/>
        <v/>
      </c>
      <c r="BI9" s="13" t="str">
        <f t="shared" si="4"/>
        <v/>
      </c>
      <c r="BJ9" s="13" t="str">
        <f t="shared" si="4"/>
        <v/>
      </c>
      <c r="BK9" s="13" t="str">
        <f t="shared" si="4"/>
        <v/>
      </c>
      <c r="BL9" s="13" t="str">
        <f t="shared" si="4"/>
        <v/>
      </c>
      <c r="BM9" s="13" t="str">
        <f t="shared" si="4"/>
        <v/>
      </c>
      <c r="BN9" s="13" t="str">
        <f t="shared" si="4"/>
        <v/>
      </c>
      <c r="BO9" s="13" t="str">
        <f t="shared" si="4"/>
        <v/>
      </c>
      <c r="BP9" s="13" t="str">
        <f t="shared" si="4"/>
        <v/>
      </c>
      <c r="BQ9" s="13" t="str">
        <f t="shared" si="4"/>
        <v/>
      </c>
      <c r="BR9" s="13" t="str">
        <f t="shared" si="4"/>
        <v/>
      </c>
      <c r="BS9" s="13" t="str">
        <f t="shared" si="4"/>
        <v/>
      </c>
      <c r="BT9" s="13" t="str">
        <f t="shared" si="4"/>
        <v/>
      </c>
      <c r="BU9" s="13" t="str">
        <f t="shared" ref="BU9:CJ12" si="5">IF(BU$1&gt;$D9,"",IF($D9=BU$1,1+$C9/4,$C9/4))</f>
        <v/>
      </c>
      <c r="BV9" s="13" t="str">
        <f t="shared" si="5"/>
        <v/>
      </c>
      <c r="BW9" s="13" t="str">
        <f t="shared" si="5"/>
        <v/>
      </c>
      <c r="BX9" s="13" t="str">
        <f t="shared" si="5"/>
        <v/>
      </c>
      <c r="BY9" s="13" t="str">
        <f t="shared" si="5"/>
        <v/>
      </c>
      <c r="BZ9" s="13" t="str">
        <f t="shared" si="5"/>
        <v/>
      </c>
      <c r="CA9" s="13" t="str">
        <f t="shared" si="5"/>
        <v/>
      </c>
      <c r="CB9" s="13" t="str">
        <f t="shared" si="5"/>
        <v/>
      </c>
      <c r="CC9" s="13" t="str">
        <f t="shared" si="5"/>
        <v/>
      </c>
      <c r="CD9" s="13" t="str">
        <f t="shared" si="5"/>
        <v/>
      </c>
      <c r="CE9" s="13" t="str">
        <f t="shared" si="5"/>
        <v/>
      </c>
      <c r="CF9" s="13" t="str">
        <f t="shared" si="5"/>
        <v/>
      </c>
      <c r="CG9" s="13" t="str">
        <f t="shared" si="5"/>
        <v/>
      </c>
      <c r="CH9" s="13" t="str">
        <f t="shared" si="5"/>
        <v/>
      </c>
      <c r="CI9" s="13" t="str">
        <f t="shared" si="5"/>
        <v/>
      </c>
      <c r="CJ9" s="13" t="str">
        <f t="shared" si="5"/>
        <v/>
      </c>
    </row>
    <row r="10" spans="1:88" x14ac:dyDescent="0.3">
      <c r="A10" s="45" t="s">
        <v>1567</v>
      </c>
      <c r="B10" s="5"/>
      <c r="C10" s="2">
        <f>market_data!H9%</f>
        <v>3.5499999999999997E-2</v>
      </c>
      <c r="D10" s="12">
        <v>60</v>
      </c>
      <c r="E10" s="34">
        <v>24</v>
      </c>
      <c r="F10" s="4">
        <v>0.93130187189917335</v>
      </c>
      <c r="G10" s="15" cm="1">
        <f t="array" ref="G10">SUMPRODUCT(F3:F10,TRANSPOSE(I7:P7))</f>
        <v>0.99999999999998201</v>
      </c>
      <c r="H10" s="15"/>
      <c r="I10" s="13">
        <f t="shared" si="3"/>
        <v>8.8749999999999992E-3</v>
      </c>
      <c r="J10" s="13">
        <f t="shared" ref="J10:BU13" si="6">IF(J$1&gt;$D10,"",IF($D10=J$1,1+$C10/4,$C10/4))</f>
        <v>8.8749999999999992E-3</v>
      </c>
      <c r="K10" s="13">
        <f t="shared" si="6"/>
        <v>8.8749999999999992E-3</v>
      </c>
      <c r="L10" s="13">
        <f t="shared" si="6"/>
        <v>8.8749999999999992E-3</v>
      </c>
      <c r="M10" s="13">
        <f t="shared" si="6"/>
        <v>8.8749999999999992E-3</v>
      </c>
      <c r="N10" s="13">
        <f t="shared" si="6"/>
        <v>8.8749999999999992E-3</v>
      </c>
      <c r="O10" s="13">
        <f t="shared" si="6"/>
        <v>8.8749999999999992E-3</v>
      </c>
      <c r="P10" s="13">
        <f t="shared" si="6"/>
        <v>8.8749999999999992E-3</v>
      </c>
      <c r="Q10" s="13">
        <f t="shared" si="6"/>
        <v>8.8749999999999992E-3</v>
      </c>
      <c r="R10" s="13">
        <f t="shared" si="6"/>
        <v>8.8749999999999992E-3</v>
      </c>
      <c r="S10" s="13">
        <f t="shared" si="6"/>
        <v>8.8749999999999992E-3</v>
      </c>
      <c r="T10" s="13">
        <f t="shared" si="6"/>
        <v>8.8749999999999992E-3</v>
      </c>
      <c r="U10" s="13">
        <f t="shared" si="6"/>
        <v>8.8749999999999992E-3</v>
      </c>
      <c r="V10" s="13">
        <f t="shared" si="6"/>
        <v>8.8749999999999992E-3</v>
      </c>
      <c r="W10" s="13">
        <f t="shared" si="6"/>
        <v>8.8749999999999992E-3</v>
      </c>
      <c r="X10" s="13">
        <f t="shared" si="6"/>
        <v>8.8749999999999992E-3</v>
      </c>
      <c r="Y10" s="13">
        <f t="shared" si="6"/>
        <v>8.8749999999999992E-3</v>
      </c>
      <c r="Z10" s="13">
        <f t="shared" si="6"/>
        <v>8.8749999999999992E-3</v>
      </c>
      <c r="AA10" s="13">
        <f t="shared" si="6"/>
        <v>8.8749999999999992E-3</v>
      </c>
      <c r="AB10" s="13">
        <f t="shared" si="6"/>
        <v>1.008875</v>
      </c>
      <c r="AC10" s="13" t="str">
        <f t="shared" si="6"/>
        <v/>
      </c>
      <c r="AD10" s="13" t="str">
        <f t="shared" si="6"/>
        <v/>
      </c>
      <c r="AE10" s="13" t="str">
        <f t="shared" si="6"/>
        <v/>
      </c>
      <c r="AF10" s="13" t="str">
        <f t="shared" si="6"/>
        <v/>
      </c>
      <c r="AG10" s="13" t="str">
        <f t="shared" si="6"/>
        <v/>
      </c>
      <c r="AH10" s="13" t="str">
        <f t="shared" si="6"/>
        <v/>
      </c>
      <c r="AI10" s="13" t="str">
        <f t="shared" si="6"/>
        <v/>
      </c>
      <c r="AJ10" s="13" t="str">
        <f t="shared" si="6"/>
        <v/>
      </c>
      <c r="AK10" s="13" t="str">
        <f t="shared" si="6"/>
        <v/>
      </c>
      <c r="AL10" s="13" t="str">
        <f t="shared" si="6"/>
        <v/>
      </c>
      <c r="AM10" s="13" t="str">
        <f t="shared" si="6"/>
        <v/>
      </c>
      <c r="AN10" s="13" t="str">
        <f t="shared" si="6"/>
        <v/>
      </c>
      <c r="AO10" s="13" t="str">
        <f t="shared" si="6"/>
        <v/>
      </c>
      <c r="AP10" s="13" t="str">
        <f t="shared" si="6"/>
        <v/>
      </c>
      <c r="AQ10" s="13" t="str">
        <f t="shared" si="6"/>
        <v/>
      </c>
      <c r="AR10" s="13" t="str">
        <f t="shared" si="6"/>
        <v/>
      </c>
      <c r="AS10" s="13" t="str">
        <f t="shared" si="6"/>
        <v/>
      </c>
      <c r="AT10" s="13" t="str">
        <f t="shared" si="6"/>
        <v/>
      </c>
      <c r="AU10" s="13" t="str">
        <f t="shared" si="6"/>
        <v/>
      </c>
      <c r="AV10" s="13" t="str">
        <f t="shared" si="6"/>
        <v/>
      </c>
      <c r="AW10" s="13" t="str">
        <f t="shared" si="6"/>
        <v/>
      </c>
      <c r="AX10" s="13" t="str">
        <f t="shared" si="6"/>
        <v/>
      </c>
      <c r="AY10" s="13" t="str">
        <f t="shared" si="6"/>
        <v/>
      </c>
      <c r="AZ10" s="13" t="str">
        <f t="shared" si="6"/>
        <v/>
      </c>
      <c r="BA10" s="13" t="str">
        <f t="shared" si="6"/>
        <v/>
      </c>
      <c r="BB10" s="13" t="str">
        <f t="shared" si="6"/>
        <v/>
      </c>
      <c r="BC10" s="13" t="str">
        <f t="shared" si="6"/>
        <v/>
      </c>
      <c r="BD10" s="13" t="str">
        <f t="shared" si="6"/>
        <v/>
      </c>
      <c r="BE10" s="13" t="str">
        <f t="shared" si="6"/>
        <v/>
      </c>
      <c r="BF10" s="13" t="str">
        <f t="shared" si="6"/>
        <v/>
      </c>
      <c r="BG10" s="13" t="str">
        <f t="shared" si="6"/>
        <v/>
      </c>
      <c r="BH10" s="13" t="str">
        <f t="shared" si="6"/>
        <v/>
      </c>
      <c r="BI10" s="13" t="str">
        <f t="shared" si="6"/>
        <v/>
      </c>
      <c r="BJ10" s="13" t="str">
        <f t="shared" si="6"/>
        <v/>
      </c>
      <c r="BK10" s="13" t="str">
        <f t="shared" si="6"/>
        <v/>
      </c>
      <c r="BL10" s="13" t="str">
        <f t="shared" si="6"/>
        <v/>
      </c>
      <c r="BM10" s="13" t="str">
        <f t="shared" si="6"/>
        <v/>
      </c>
      <c r="BN10" s="13" t="str">
        <f t="shared" si="6"/>
        <v/>
      </c>
      <c r="BO10" s="13" t="str">
        <f t="shared" si="6"/>
        <v/>
      </c>
      <c r="BP10" s="13" t="str">
        <f t="shared" si="6"/>
        <v/>
      </c>
      <c r="BQ10" s="13" t="str">
        <f t="shared" si="6"/>
        <v/>
      </c>
      <c r="BR10" s="13" t="str">
        <f t="shared" si="6"/>
        <v/>
      </c>
      <c r="BS10" s="13" t="str">
        <f t="shared" si="6"/>
        <v/>
      </c>
      <c r="BT10" s="13" t="str">
        <f t="shared" si="6"/>
        <v/>
      </c>
      <c r="BU10" s="13" t="str">
        <f t="shared" si="6"/>
        <v/>
      </c>
      <c r="BV10" s="13" t="str">
        <f t="shared" si="5"/>
        <v/>
      </c>
      <c r="BW10" s="13" t="str">
        <f t="shared" si="5"/>
        <v/>
      </c>
      <c r="BX10" s="13" t="str">
        <f t="shared" si="5"/>
        <v/>
      </c>
      <c r="BY10" s="13" t="str">
        <f t="shared" si="5"/>
        <v/>
      </c>
      <c r="BZ10" s="13" t="str">
        <f t="shared" si="5"/>
        <v/>
      </c>
      <c r="CA10" s="13" t="str">
        <f t="shared" si="5"/>
        <v/>
      </c>
      <c r="CB10" s="13" t="str">
        <f t="shared" si="5"/>
        <v/>
      </c>
      <c r="CC10" s="13" t="str">
        <f t="shared" si="5"/>
        <v/>
      </c>
      <c r="CD10" s="13" t="str">
        <f t="shared" si="5"/>
        <v/>
      </c>
      <c r="CE10" s="13" t="str">
        <f t="shared" si="5"/>
        <v/>
      </c>
      <c r="CF10" s="13" t="str">
        <f t="shared" si="5"/>
        <v/>
      </c>
      <c r="CG10" s="13" t="str">
        <f t="shared" si="5"/>
        <v/>
      </c>
      <c r="CH10" s="13" t="str">
        <f t="shared" si="5"/>
        <v/>
      </c>
      <c r="CI10" s="13" t="str">
        <f t="shared" si="5"/>
        <v/>
      </c>
      <c r="CJ10" s="13" t="str">
        <f t="shared" si="5"/>
        <v/>
      </c>
    </row>
    <row r="11" spans="1:88" x14ac:dyDescent="0.3">
      <c r="A11" s="45" t="s">
        <v>1571</v>
      </c>
      <c r="B11" s="5"/>
      <c r="C11" s="2">
        <f>market_data!H10%</f>
        <v>3.5569999999999997E-2</v>
      </c>
      <c r="D11" s="12">
        <v>84</v>
      </c>
      <c r="E11" s="12">
        <v>27</v>
      </c>
      <c r="F11" s="4">
        <f>(F14-F10)/12*3+F10</f>
        <v>0.92329882549794551</v>
      </c>
      <c r="G11" s="15"/>
      <c r="H11" s="15"/>
      <c r="I11" s="13">
        <f t="shared" si="3"/>
        <v>8.8924999999999994E-3</v>
      </c>
      <c r="J11" s="13">
        <f t="shared" si="6"/>
        <v>8.8924999999999994E-3</v>
      </c>
      <c r="K11" s="13">
        <f t="shared" si="6"/>
        <v>8.8924999999999994E-3</v>
      </c>
      <c r="L11" s="13">
        <f t="shared" si="6"/>
        <v>8.8924999999999994E-3</v>
      </c>
      <c r="M11" s="13">
        <f t="shared" si="6"/>
        <v>8.8924999999999994E-3</v>
      </c>
      <c r="N11" s="13">
        <f t="shared" si="6"/>
        <v>8.8924999999999994E-3</v>
      </c>
      <c r="O11" s="13">
        <f t="shared" si="6"/>
        <v>8.8924999999999994E-3</v>
      </c>
      <c r="P11" s="13">
        <f t="shared" si="6"/>
        <v>8.8924999999999994E-3</v>
      </c>
      <c r="Q11" s="13">
        <f t="shared" si="6"/>
        <v>8.8924999999999994E-3</v>
      </c>
      <c r="R11" s="13">
        <f t="shared" si="6"/>
        <v>8.8924999999999994E-3</v>
      </c>
      <c r="S11" s="13">
        <f t="shared" si="6"/>
        <v>8.8924999999999994E-3</v>
      </c>
      <c r="T11" s="13">
        <f t="shared" si="6"/>
        <v>8.8924999999999994E-3</v>
      </c>
      <c r="U11" s="13">
        <f t="shared" si="6"/>
        <v>8.8924999999999994E-3</v>
      </c>
      <c r="V11" s="13">
        <f t="shared" si="6"/>
        <v>8.8924999999999994E-3</v>
      </c>
      <c r="W11" s="13">
        <f t="shared" si="6"/>
        <v>8.8924999999999994E-3</v>
      </c>
      <c r="X11" s="13">
        <f t="shared" si="6"/>
        <v>8.8924999999999994E-3</v>
      </c>
      <c r="Y11" s="13">
        <f t="shared" si="6"/>
        <v>8.8924999999999994E-3</v>
      </c>
      <c r="Z11" s="13">
        <f t="shared" si="6"/>
        <v>8.8924999999999994E-3</v>
      </c>
      <c r="AA11" s="13">
        <f t="shared" si="6"/>
        <v>8.8924999999999994E-3</v>
      </c>
      <c r="AB11" s="13">
        <f t="shared" si="6"/>
        <v>8.8924999999999994E-3</v>
      </c>
      <c r="AC11" s="13">
        <f t="shared" si="6"/>
        <v>8.8924999999999994E-3</v>
      </c>
      <c r="AD11" s="13">
        <f t="shared" si="6"/>
        <v>8.8924999999999994E-3</v>
      </c>
      <c r="AE11" s="13">
        <f t="shared" si="6"/>
        <v>8.8924999999999994E-3</v>
      </c>
      <c r="AF11" s="13">
        <f t="shared" si="6"/>
        <v>8.8924999999999994E-3</v>
      </c>
      <c r="AG11" s="13">
        <f t="shared" si="6"/>
        <v>8.8924999999999994E-3</v>
      </c>
      <c r="AH11" s="13">
        <f t="shared" si="6"/>
        <v>8.8924999999999994E-3</v>
      </c>
      <c r="AI11" s="13">
        <f t="shared" si="6"/>
        <v>8.8924999999999994E-3</v>
      </c>
      <c r="AJ11" s="13">
        <f t="shared" si="6"/>
        <v>1.0088925</v>
      </c>
      <c r="AK11" s="13" t="str">
        <f t="shared" si="6"/>
        <v/>
      </c>
      <c r="AL11" s="13" t="str">
        <f t="shared" si="6"/>
        <v/>
      </c>
      <c r="AM11" s="13" t="str">
        <f t="shared" si="6"/>
        <v/>
      </c>
      <c r="AN11" s="13" t="str">
        <f t="shared" si="6"/>
        <v/>
      </c>
      <c r="AO11" s="13" t="str">
        <f t="shared" si="6"/>
        <v/>
      </c>
      <c r="AP11" s="13" t="str">
        <f t="shared" si="6"/>
        <v/>
      </c>
      <c r="AQ11" s="13" t="str">
        <f t="shared" si="6"/>
        <v/>
      </c>
      <c r="AR11" s="13" t="str">
        <f t="shared" si="6"/>
        <v/>
      </c>
      <c r="AS11" s="13" t="str">
        <f t="shared" si="6"/>
        <v/>
      </c>
      <c r="AT11" s="13" t="str">
        <f t="shared" si="6"/>
        <v/>
      </c>
      <c r="AU11" s="13" t="str">
        <f t="shared" si="6"/>
        <v/>
      </c>
      <c r="AV11" s="13" t="str">
        <f t="shared" si="6"/>
        <v/>
      </c>
      <c r="AW11" s="13" t="str">
        <f t="shared" si="6"/>
        <v/>
      </c>
      <c r="AX11" s="13" t="str">
        <f t="shared" si="6"/>
        <v/>
      </c>
      <c r="AY11" s="13" t="str">
        <f t="shared" si="6"/>
        <v/>
      </c>
      <c r="AZ11" s="13" t="str">
        <f t="shared" si="6"/>
        <v/>
      </c>
      <c r="BA11" s="13" t="str">
        <f t="shared" si="6"/>
        <v/>
      </c>
      <c r="BB11" s="13" t="str">
        <f t="shared" si="6"/>
        <v/>
      </c>
      <c r="BC11" s="13" t="str">
        <f t="shared" si="6"/>
        <v/>
      </c>
      <c r="BD11" s="13" t="str">
        <f t="shared" si="6"/>
        <v/>
      </c>
      <c r="BE11" s="13" t="str">
        <f t="shared" si="6"/>
        <v/>
      </c>
      <c r="BF11" s="13" t="str">
        <f t="shared" si="6"/>
        <v/>
      </c>
      <c r="BG11" s="13" t="str">
        <f t="shared" si="6"/>
        <v/>
      </c>
      <c r="BH11" s="13" t="str">
        <f t="shared" si="6"/>
        <v/>
      </c>
      <c r="BI11" s="13" t="str">
        <f t="shared" si="6"/>
        <v/>
      </c>
      <c r="BJ11" s="13" t="str">
        <f t="shared" si="6"/>
        <v/>
      </c>
      <c r="BK11" s="13" t="str">
        <f t="shared" si="6"/>
        <v/>
      </c>
      <c r="BL11" s="13" t="str">
        <f t="shared" si="6"/>
        <v/>
      </c>
      <c r="BM11" s="13" t="str">
        <f t="shared" si="6"/>
        <v/>
      </c>
      <c r="BN11" s="13" t="str">
        <f t="shared" si="6"/>
        <v/>
      </c>
      <c r="BO11" s="13" t="str">
        <f t="shared" si="6"/>
        <v/>
      </c>
      <c r="BP11" s="13" t="str">
        <f t="shared" si="6"/>
        <v/>
      </c>
      <c r="BQ11" s="13" t="str">
        <f t="shared" si="6"/>
        <v/>
      </c>
      <c r="BR11" s="13" t="str">
        <f t="shared" si="6"/>
        <v/>
      </c>
      <c r="BS11" s="13" t="str">
        <f t="shared" si="6"/>
        <v/>
      </c>
      <c r="BT11" s="13" t="str">
        <f t="shared" si="6"/>
        <v/>
      </c>
      <c r="BU11" s="13" t="str">
        <f t="shared" si="6"/>
        <v/>
      </c>
      <c r="BV11" s="13" t="str">
        <f t="shared" si="5"/>
        <v/>
      </c>
      <c r="BW11" s="13" t="str">
        <f t="shared" si="5"/>
        <v/>
      </c>
      <c r="BX11" s="13" t="str">
        <f t="shared" si="5"/>
        <v/>
      </c>
      <c r="BY11" s="13" t="str">
        <f t="shared" si="5"/>
        <v/>
      </c>
      <c r="BZ11" s="13" t="str">
        <f t="shared" si="5"/>
        <v/>
      </c>
      <c r="CA11" s="13" t="str">
        <f t="shared" si="5"/>
        <v/>
      </c>
      <c r="CB11" s="13" t="str">
        <f t="shared" si="5"/>
        <v/>
      </c>
      <c r="CC11" s="13" t="str">
        <f t="shared" si="5"/>
        <v/>
      </c>
      <c r="CD11" s="13" t="str">
        <f t="shared" si="5"/>
        <v/>
      </c>
      <c r="CE11" s="13" t="str">
        <f t="shared" si="5"/>
        <v/>
      </c>
      <c r="CF11" s="13" t="str">
        <f t="shared" si="5"/>
        <v/>
      </c>
      <c r="CG11" s="13" t="str">
        <f t="shared" si="5"/>
        <v/>
      </c>
      <c r="CH11" s="13" t="str">
        <f t="shared" si="5"/>
        <v/>
      </c>
      <c r="CI11" s="13" t="str">
        <f t="shared" si="5"/>
        <v/>
      </c>
      <c r="CJ11" s="13" t="str">
        <f t="shared" si="5"/>
        <v/>
      </c>
    </row>
    <row r="12" spans="1:88" x14ac:dyDescent="0.3">
      <c r="A12" s="45" t="s">
        <v>1573</v>
      </c>
      <c r="B12" s="5"/>
      <c r="C12" s="2">
        <f>market_data!H11%</f>
        <v>3.5650000000000001E-2</v>
      </c>
      <c r="D12" s="12">
        <v>120</v>
      </c>
      <c r="E12" s="12">
        <v>30</v>
      </c>
      <c r="F12" s="15">
        <f>F11+(F14-F10)/12*3</f>
        <v>0.91529577909671767</v>
      </c>
      <c r="G12" s="15"/>
      <c r="H12" s="15"/>
      <c r="I12" s="13">
        <f t="shared" si="3"/>
        <v>8.9125000000000003E-3</v>
      </c>
      <c r="J12" s="13">
        <f t="shared" si="6"/>
        <v>8.9125000000000003E-3</v>
      </c>
      <c r="K12" s="13">
        <f t="shared" si="6"/>
        <v>8.9125000000000003E-3</v>
      </c>
      <c r="L12" s="13">
        <f t="shared" si="6"/>
        <v>8.9125000000000003E-3</v>
      </c>
      <c r="M12" s="13">
        <f t="shared" si="6"/>
        <v>8.9125000000000003E-3</v>
      </c>
      <c r="N12" s="13">
        <f t="shared" si="6"/>
        <v>8.9125000000000003E-3</v>
      </c>
      <c r="O12" s="13">
        <f t="shared" si="6"/>
        <v>8.9125000000000003E-3</v>
      </c>
      <c r="P12" s="13">
        <f t="shared" si="6"/>
        <v>8.9125000000000003E-3</v>
      </c>
      <c r="Q12" s="13">
        <f t="shared" si="6"/>
        <v>8.9125000000000003E-3</v>
      </c>
      <c r="R12" s="13">
        <f t="shared" si="6"/>
        <v>8.9125000000000003E-3</v>
      </c>
      <c r="S12" s="13">
        <f t="shared" si="6"/>
        <v>8.9125000000000003E-3</v>
      </c>
      <c r="T12" s="13">
        <f t="shared" si="6"/>
        <v>8.9125000000000003E-3</v>
      </c>
      <c r="U12" s="13">
        <f t="shared" si="6"/>
        <v>8.9125000000000003E-3</v>
      </c>
      <c r="V12" s="13">
        <f t="shared" si="6"/>
        <v>8.9125000000000003E-3</v>
      </c>
      <c r="W12" s="13">
        <f t="shared" si="6"/>
        <v>8.9125000000000003E-3</v>
      </c>
      <c r="X12" s="13">
        <f t="shared" si="6"/>
        <v>8.9125000000000003E-3</v>
      </c>
      <c r="Y12" s="13">
        <f t="shared" si="6"/>
        <v>8.9125000000000003E-3</v>
      </c>
      <c r="Z12" s="13">
        <f t="shared" si="6"/>
        <v>8.9125000000000003E-3</v>
      </c>
      <c r="AA12" s="13">
        <f t="shared" si="6"/>
        <v>8.9125000000000003E-3</v>
      </c>
      <c r="AB12" s="13">
        <f t="shared" si="6"/>
        <v>8.9125000000000003E-3</v>
      </c>
      <c r="AC12" s="13">
        <f t="shared" si="6"/>
        <v>8.9125000000000003E-3</v>
      </c>
      <c r="AD12" s="13">
        <f t="shared" si="6"/>
        <v>8.9125000000000003E-3</v>
      </c>
      <c r="AE12" s="13">
        <f t="shared" si="6"/>
        <v>8.9125000000000003E-3</v>
      </c>
      <c r="AF12" s="13">
        <f t="shared" si="6"/>
        <v>8.9125000000000003E-3</v>
      </c>
      <c r="AG12" s="13">
        <f t="shared" si="6"/>
        <v>8.9125000000000003E-3</v>
      </c>
      <c r="AH12" s="13">
        <f t="shared" si="6"/>
        <v>8.9125000000000003E-3</v>
      </c>
      <c r="AI12" s="13">
        <f t="shared" si="6"/>
        <v>8.9125000000000003E-3</v>
      </c>
      <c r="AJ12" s="13">
        <f t="shared" si="6"/>
        <v>8.9125000000000003E-3</v>
      </c>
      <c r="AK12" s="13">
        <f t="shared" si="6"/>
        <v>8.9125000000000003E-3</v>
      </c>
      <c r="AL12" s="13">
        <f t="shared" si="6"/>
        <v>8.9125000000000003E-3</v>
      </c>
      <c r="AM12" s="13">
        <f t="shared" si="6"/>
        <v>8.9125000000000003E-3</v>
      </c>
      <c r="AN12" s="13">
        <f t="shared" si="6"/>
        <v>8.9125000000000003E-3</v>
      </c>
      <c r="AO12" s="13">
        <f t="shared" si="6"/>
        <v>8.9125000000000003E-3</v>
      </c>
      <c r="AP12" s="13">
        <f t="shared" si="6"/>
        <v>8.9125000000000003E-3</v>
      </c>
      <c r="AQ12" s="13">
        <f t="shared" si="6"/>
        <v>8.9125000000000003E-3</v>
      </c>
      <c r="AR12" s="13">
        <f t="shared" si="6"/>
        <v>8.9125000000000003E-3</v>
      </c>
      <c r="AS12" s="13">
        <f t="shared" si="6"/>
        <v>8.9125000000000003E-3</v>
      </c>
      <c r="AT12" s="13">
        <f t="shared" si="6"/>
        <v>8.9125000000000003E-3</v>
      </c>
      <c r="AU12" s="13">
        <f t="shared" si="6"/>
        <v>8.9125000000000003E-3</v>
      </c>
      <c r="AV12" s="13">
        <f t="shared" si="6"/>
        <v>1.0089125000000001</v>
      </c>
      <c r="AW12" s="13" t="str">
        <f t="shared" si="6"/>
        <v/>
      </c>
      <c r="AX12" s="13" t="str">
        <f t="shared" si="6"/>
        <v/>
      </c>
      <c r="AY12" s="13" t="str">
        <f t="shared" si="6"/>
        <v/>
      </c>
      <c r="AZ12" s="13" t="str">
        <f t="shared" si="6"/>
        <v/>
      </c>
      <c r="BA12" s="13" t="str">
        <f t="shared" si="6"/>
        <v/>
      </c>
      <c r="BB12" s="13" t="str">
        <f t="shared" si="6"/>
        <v/>
      </c>
      <c r="BC12" s="13" t="str">
        <f t="shared" si="6"/>
        <v/>
      </c>
      <c r="BD12" s="13" t="str">
        <f t="shared" si="6"/>
        <v/>
      </c>
      <c r="BE12" s="13" t="str">
        <f t="shared" si="6"/>
        <v/>
      </c>
      <c r="BF12" s="13" t="str">
        <f t="shared" si="6"/>
        <v/>
      </c>
      <c r="BG12" s="13" t="str">
        <f t="shared" si="6"/>
        <v/>
      </c>
      <c r="BH12" s="13" t="str">
        <f t="shared" si="6"/>
        <v/>
      </c>
      <c r="BI12" s="13" t="str">
        <f t="shared" si="6"/>
        <v/>
      </c>
      <c r="BJ12" s="13" t="str">
        <f t="shared" si="6"/>
        <v/>
      </c>
      <c r="BK12" s="13" t="str">
        <f t="shared" si="6"/>
        <v/>
      </c>
      <c r="BL12" s="13" t="str">
        <f t="shared" si="6"/>
        <v/>
      </c>
      <c r="BM12" s="13" t="str">
        <f t="shared" si="6"/>
        <v/>
      </c>
      <c r="BN12" s="13" t="str">
        <f t="shared" si="6"/>
        <v/>
      </c>
      <c r="BO12" s="13" t="str">
        <f t="shared" si="6"/>
        <v/>
      </c>
      <c r="BP12" s="13" t="str">
        <f t="shared" si="6"/>
        <v/>
      </c>
      <c r="BQ12" s="13" t="str">
        <f t="shared" si="6"/>
        <v/>
      </c>
      <c r="BR12" s="13" t="str">
        <f t="shared" si="6"/>
        <v/>
      </c>
      <c r="BS12" s="13" t="str">
        <f t="shared" si="6"/>
        <v/>
      </c>
      <c r="BT12" s="13" t="str">
        <f t="shared" si="6"/>
        <v/>
      </c>
      <c r="BU12" s="13" t="str">
        <f t="shared" si="6"/>
        <v/>
      </c>
      <c r="BV12" s="13" t="str">
        <f t="shared" si="5"/>
        <v/>
      </c>
      <c r="BW12" s="13" t="str">
        <f t="shared" si="5"/>
        <v/>
      </c>
      <c r="BX12" s="13" t="str">
        <f t="shared" si="5"/>
        <v/>
      </c>
      <c r="BY12" s="13" t="str">
        <f t="shared" si="5"/>
        <v/>
      </c>
      <c r="BZ12" s="13" t="str">
        <f t="shared" si="5"/>
        <v/>
      </c>
      <c r="CA12" s="13" t="str">
        <f t="shared" si="5"/>
        <v/>
      </c>
      <c r="CB12" s="13" t="str">
        <f t="shared" si="5"/>
        <v/>
      </c>
      <c r="CC12" s="13" t="str">
        <f t="shared" si="5"/>
        <v/>
      </c>
      <c r="CD12" s="13" t="str">
        <f t="shared" si="5"/>
        <v/>
      </c>
      <c r="CE12" s="13" t="str">
        <f t="shared" si="5"/>
        <v/>
      </c>
      <c r="CF12" s="13" t="str">
        <f t="shared" si="5"/>
        <v/>
      </c>
      <c r="CG12" s="13" t="str">
        <f t="shared" si="5"/>
        <v/>
      </c>
      <c r="CH12" s="13" t="str">
        <f t="shared" si="5"/>
        <v/>
      </c>
      <c r="CI12" s="13" t="str">
        <f t="shared" si="5"/>
        <v/>
      </c>
      <c r="CJ12" s="13" t="str">
        <f t="shared" si="5"/>
        <v/>
      </c>
    </row>
    <row r="13" spans="1:88" x14ac:dyDescent="0.3">
      <c r="A13" s="45" t="s">
        <v>1577</v>
      </c>
      <c r="B13" s="5"/>
      <c r="C13" s="2">
        <f>market_data!H12%</f>
        <v>3.5750000000000004E-2</v>
      </c>
      <c r="D13" s="12">
        <v>144</v>
      </c>
      <c r="E13" s="12">
        <v>33</v>
      </c>
      <c r="F13" s="15">
        <f>F12+(F14-F10)/12*3</f>
        <v>0.90729273269548982</v>
      </c>
      <c r="G13" s="15"/>
      <c r="H13" s="15"/>
      <c r="I13" s="13">
        <f t="shared" si="3"/>
        <v>8.937500000000001E-3</v>
      </c>
      <c r="J13" s="13">
        <f t="shared" si="6"/>
        <v>8.937500000000001E-3</v>
      </c>
      <c r="K13" s="13">
        <f t="shared" si="6"/>
        <v>8.937500000000001E-3</v>
      </c>
      <c r="L13" s="13">
        <f t="shared" si="6"/>
        <v>8.937500000000001E-3</v>
      </c>
      <c r="M13" s="13">
        <f t="shared" si="6"/>
        <v>8.937500000000001E-3</v>
      </c>
      <c r="N13" s="13">
        <f t="shared" si="6"/>
        <v>8.937500000000001E-3</v>
      </c>
      <c r="O13" s="13">
        <f t="shared" si="6"/>
        <v>8.937500000000001E-3</v>
      </c>
      <c r="P13" s="13">
        <f t="shared" si="6"/>
        <v>8.937500000000001E-3</v>
      </c>
      <c r="Q13" s="13">
        <f t="shared" si="6"/>
        <v>8.937500000000001E-3</v>
      </c>
      <c r="R13" s="13">
        <f t="shared" si="6"/>
        <v>8.937500000000001E-3</v>
      </c>
      <c r="S13" s="13">
        <f t="shared" si="6"/>
        <v>8.937500000000001E-3</v>
      </c>
      <c r="T13" s="13">
        <f t="shared" si="6"/>
        <v>8.937500000000001E-3</v>
      </c>
      <c r="U13" s="13">
        <f t="shared" si="6"/>
        <v>8.937500000000001E-3</v>
      </c>
      <c r="V13" s="13">
        <f t="shared" si="6"/>
        <v>8.937500000000001E-3</v>
      </c>
      <c r="W13" s="13">
        <f t="shared" si="6"/>
        <v>8.937500000000001E-3</v>
      </c>
      <c r="X13" s="13">
        <f t="shared" si="6"/>
        <v>8.937500000000001E-3</v>
      </c>
      <c r="Y13" s="13">
        <f t="shared" si="6"/>
        <v>8.937500000000001E-3</v>
      </c>
      <c r="Z13" s="13">
        <f t="shared" si="6"/>
        <v>8.937500000000001E-3</v>
      </c>
      <c r="AA13" s="13">
        <f t="shared" si="6"/>
        <v>8.937500000000001E-3</v>
      </c>
      <c r="AB13" s="13">
        <f t="shared" si="6"/>
        <v>8.937500000000001E-3</v>
      </c>
      <c r="AC13" s="13">
        <f t="shared" si="6"/>
        <v>8.937500000000001E-3</v>
      </c>
      <c r="AD13" s="13">
        <f t="shared" si="6"/>
        <v>8.937500000000001E-3</v>
      </c>
      <c r="AE13" s="13">
        <f t="shared" si="6"/>
        <v>8.937500000000001E-3</v>
      </c>
      <c r="AF13" s="13">
        <f t="shared" si="6"/>
        <v>8.937500000000001E-3</v>
      </c>
      <c r="AG13" s="13">
        <f t="shared" si="6"/>
        <v>8.937500000000001E-3</v>
      </c>
      <c r="AH13" s="13">
        <f t="shared" si="6"/>
        <v>8.937500000000001E-3</v>
      </c>
      <c r="AI13" s="13">
        <f t="shared" si="6"/>
        <v>8.937500000000001E-3</v>
      </c>
      <c r="AJ13" s="13">
        <f t="shared" si="6"/>
        <v>8.937500000000001E-3</v>
      </c>
      <c r="AK13" s="13">
        <f t="shared" si="6"/>
        <v>8.937500000000001E-3</v>
      </c>
      <c r="AL13" s="13">
        <f t="shared" si="6"/>
        <v>8.937500000000001E-3</v>
      </c>
      <c r="AM13" s="13">
        <f t="shared" si="6"/>
        <v>8.937500000000001E-3</v>
      </c>
      <c r="AN13" s="13">
        <f t="shared" si="6"/>
        <v>8.937500000000001E-3</v>
      </c>
      <c r="AO13" s="13">
        <f t="shared" si="6"/>
        <v>8.937500000000001E-3</v>
      </c>
      <c r="AP13" s="13">
        <f t="shared" si="6"/>
        <v>8.937500000000001E-3</v>
      </c>
      <c r="AQ13" s="13">
        <f t="shared" si="6"/>
        <v>8.937500000000001E-3</v>
      </c>
      <c r="AR13" s="13">
        <f t="shared" si="6"/>
        <v>8.937500000000001E-3</v>
      </c>
      <c r="AS13" s="13">
        <f t="shared" si="6"/>
        <v>8.937500000000001E-3</v>
      </c>
      <c r="AT13" s="13">
        <f t="shared" si="6"/>
        <v>8.937500000000001E-3</v>
      </c>
      <c r="AU13" s="13">
        <f t="shared" si="6"/>
        <v>8.937500000000001E-3</v>
      </c>
      <c r="AV13" s="13">
        <f t="shared" si="6"/>
        <v>8.937500000000001E-3</v>
      </c>
      <c r="AW13" s="13">
        <f t="shared" si="6"/>
        <v>8.937500000000001E-3</v>
      </c>
      <c r="AX13" s="13">
        <f t="shared" si="6"/>
        <v>8.937500000000001E-3</v>
      </c>
      <c r="AY13" s="13">
        <f t="shared" si="6"/>
        <v>8.937500000000001E-3</v>
      </c>
      <c r="AZ13" s="13">
        <f t="shared" si="6"/>
        <v>8.937500000000001E-3</v>
      </c>
      <c r="BA13" s="13">
        <f t="shared" si="6"/>
        <v>8.937500000000001E-3</v>
      </c>
      <c r="BB13" s="13">
        <f t="shared" si="6"/>
        <v>8.937500000000001E-3</v>
      </c>
      <c r="BC13" s="13">
        <f t="shared" si="6"/>
        <v>8.937500000000001E-3</v>
      </c>
      <c r="BD13" s="13">
        <f t="shared" si="6"/>
        <v>1.0089375</v>
      </c>
      <c r="BE13" s="13" t="str">
        <f t="shared" si="6"/>
        <v/>
      </c>
      <c r="BF13" s="13" t="str">
        <f t="shared" si="6"/>
        <v/>
      </c>
      <c r="BG13" s="13" t="str">
        <f t="shared" si="6"/>
        <v/>
      </c>
      <c r="BH13" s="13" t="str">
        <f t="shared" si="6"/>
        <v/>
      </c>
      <c r="BI13" s="13" t="str">
        <f t="shared" si="6"/>
        <v/>
      </c>
      <c r="BJ13" s="13" t="str">
        <f t="shared" si="6"/>
        <v/>
      </c>
      <c r="BK13" s="13" t="str">
        <f t="shared" si="6"/>
        <v/>
      </c>
      <c r="BL13" s="13" t="str">
        <f t="shared" si="6"/>
        <v/>
      </c>
      <c r="BM13" s="13" t="str">
        <f t="shared" si="6"/>
        <v/>
      </c>
      <c r="BN13" s="13" t="str">
        <f t="shared" si="6"/>
        <v/>
      </c>
      <c r="BO13" s="13" t="str">
        <f t="shared" si="6"/>
        <v/>
      </c>
      <c r="BP13" s="13" t="str">
        <f t="shared" si="6"/>
        <v/>
      </c>
      <c r="BQ13" s="13" t="str">
        <f t="shared" si="6"/>
        <v/>
      </c>
      <c r="BR13" s="13" t="str">
        <f t="shared" si="6"/>
        <v/>
      </c>
      <c r="BS13" s="13" t="str">
        <f t="shared" si="6"/>
        <v/>
      </c>
      <c r="BT13" s="13" t="str">
        <f t="shared" si="6"/>
        <v/>
      </c>
      <c r="BU13" s="13" t="str">
        <f t="shared" ref="BU13:CJ15" si="7">IF(BU$1&gt;$D13,"",IF($D13=BU$1,1+$C13/4,$C13/4))</f>
        <v/>
      </c>
      <c r="BV13" s="13" t="str">
        <f t="shared" si="7"/>
        <v/>
      </c>
      <c r="BW13" s="13" t="str">
        <f t="shared" si="7"/>
        <v/>
      </c>
      <c r="BX13" s="13" t="str">
        <f t="shared" si="7"/>
        <v/>
      </c>
      <c r="BY13" s="13" t="str">
        <f t="shared" si="7"/>
        <v/>
      </c>
      <c r="BZ13" s="13" t="str">
        <f t="shared" si="7"/>
        <v/>
      </c>
      <c r="CA13" s="13" t="str">
        <f t="shared" si="7"/>
        <v/>
      </c>
      <c r="CB13" s="13" t="str">
        <f t="shared" si="7"/>
        <v/>
      </c>
      <c r="CC13" s="13" t="str">
        <f t="shared" si="7"/>
        <v/>
      </c>
      <c r="CD13" s="13" t="str">
        <f t="shared" si="7"/>
        <v/>
      </c>
      <c r="CE13" s="13" t="str">
        <f t="shared" si="7"/>
        <v/>
      </c>
      <c r="CF13" s="13" t="str">
        <f t="shared" si="7"/>
        <v/>
      </c>
      <c r="CG13" s="13" t="str">
        <f t="shared" si="7"/>
        <v/>
      </c>
      <c r="CH13" s="13" t="str">
        <f t="shared" si="7"/>
        <v/>
      </c>
      <c r="CI13" s="13" t="str">
        <f t="shared" si="7"/>
        <v/>
      </c>
      <c r="CJ13" s="13" t="str">
        <f t="shared" si="7"/>
        <v/>
      </c>
    </row>
    <row r="14" spans="1:88" x14ac:dyDescent="0.3">
      <c r="A14" s="45" t="s">
        <v>1579</v>
      </c>
      <c r="B14" s="5"/>
      <c r="C14" s="2">
        <f>market_data!H13%</f>
        <v>3.5699999999999996E-2</v>
      </c>
      <c r="D14" s="12">
        <v>180</v>
      </c>
      <c r="E14" s="34">
        <v>36</v>
      </c>
      <c r="F14" s="4">
        <v>0.89928968629426209</v>
      </c>
      <c r="G14" s="15">
        <f t="array" ref="G14">SUMPRODUCT(F3:F14,TRANSPOSE(I8:T8))</f>
        <v>1.0000000000000047</v>
      </c>
      <c r="H14" s="15"/>
      <c r="I14" s="13">
        <f t="shared" si="3"/>
        <v>8.9249999999999989E-3</v>
      </c>
      <c r="J14" s="13">
        <f t="shared" ref="J14:BU15" si="8">IF(J$1&gt;$D14,"",IF($D14=J$1,1+$C14/4,$C14/4))</f>
        <v>8.9249999999999989E-3</v>
      </c>
      <c r="K14" s="13">
        <f t="shared" si="8"/>
        <v>8.9249999999999989E-3</v>
      </c>
      <c r="L14" s="13">
        <f t="shared" si="8"/>
        <v>8.9249999999999989E-3</v>
      </c>
      <c r="M14" s="13">
        <f t="shared" si="8"/>
        <v>8.9249999999999989E-3</v>
      </c>
      <c r="N14" s="13">
        <f t="shared" si="8"/>
        <v>8.9249999999999989E-3</v>
      </c>
      <c r="O14" s="13">
        <f t="shared" si="8"/>
        <v>8.9249999999999989E-3</v>
      </c>
      <c r="P14" s="13">
        <f t="shared" si="8"/>
        <v>8.9249999999999989E-3</v>
      </c>
      <c r="Q14" s="13">
        <f t="shared" si="8"/>
        <v>8.9249999999999989E-3</v>
      </c>
      <c r="R14" s="13">
        <f t="shared" si="8"/>
        <v>8.9249999999999989E-3</v>
      </c>
      <c r="S14" s="13">
        <f t="shared" si="8"/>
        <v>8.9249999999999989E-3</v>
      </c>
      <c r="T14" s="13">
        <f t="shared" si="8"/>
        <v>8.9249999999999989E-3</v>
      </c>
      <c r="U14" s="13">
        <f t="shared" si="8"/>
        <v>8.9249999999999989E-3</v>
      </c>
      <c r="V14" s="13">
        <f t="shared" si="8"/>
        <v>8.9249999999999989E-3</v>
      </c>
      <c r="W14" s="13">
        <f t="shared" si="8"/>
        <v>8.9249999999999989E-3</v>
      </c>
      <c r="X14" s="13">
        <f t="shared" si="8"/>
        <v>8.9249999999999989E-3</v>
      </c>
      <c r="Y14" s="13">
        <f t="shared" si="8"/>
        <v>8.9249999999999989E-3</v>
      </c>
      <c r="Z14" s="13">
        <f t="shared" si="8"/>
        <v>8.9249999999999989E-3</v>
      </c>
      <c r="AA14" s="13">
        <f t="shared" si="8"/>
        <v>8.9249999999999989E-3</v>
      </c>
      <c r="AB14" s="13">
        <f t="shared" si="8"/>
        <v>8.9249999999999989E-3</v>
      </c>
      <c r="AC14" s="13">
        <f t="shared" si="8"/>
        <v>8.9249999999999989E-3</v>
      </c>
      <c r="AD14" s="13">
        <f t="shared" si="8"/>
        <v>8.9249999999999989E-3</v>
      </c>
      <c r="AE14" s="13">
        <f t="shared" si="8"/>
        <v>8.9249999999999989E-3</v>
      </c>
      <c r="AF14" s="13">
        <f t="shared" si="8"/>
        <v>8.9249999999999989E-3</v>
      </c>
      <c r="AG14" s="13">
        <f t="shared" si="8"/>
        <v>8.9249999999999989E-3</v>
      </c>
      <c r="AH14" s="13">
        <f t="shared" si="8"/>
        <v>8.9249999999999989E-3</v>
      </c>
      <c r="AI14" s="13">
        <f t="shared" si="8"/>
        <v>8.9249999999999989E-3</v>
      </c>
      <c r="AJ14" s="13">
        <f t="shared" si="8"/>
        <v>8.9249999999999989E-3</v>
      </c>
      <c r="AK14" s="13">
        <f t="shared" si="8"/>
        <v>8.9249999999999989E-3</v>
      </c>
      <c r="AL14" s="13">
        <f t="shared" si="8"/>
        <v>8.9249999999999989E-3</v>
      </c>
      <c r="AM14" s="13">
        <f t="shared" si="8"/>
        <v>8.9249999999999989E-3</v>
      </c>
      <c r="AN14" s="13">
        <f t="shared" si="8"/>
        <v>8.9249999999999989E-3</v>
      </c>
      <c r="AO14" s="13">
        <f t="shared" si="8"/>
        <v>8.9249999999999989E-3</v>
      </c>
      <c r="AP14" s="13">
        <f t="shared" si="8"/>
        <v>8.9249999999999989E-3</v>
      </c>
      <c r="AQ14" s="13">
        <f t="shared" si="8"/>
        <v>8.9249999999999989E-3</v>
      </c>
      <c r="AR14" s="13">
        <f t="shared" si="8"/>
        <v>8.9249999999999989E-3</v>
      </c>
      <c r="AS14" s="13">
        <f t="shared" si="8"/>
        <v>8.9249999999999989E-3</v>
      </c>
      <c r="AT14" s="13">
        <f t="shared" si="8"/>
        <v>8.9249999999999989E-3</v>
      </c>
      <c r="AU14" s="13">
        <f t="shared" si="8"/>
        <v>8.9249999999999989E-3</v>
      </c>
      <c r="AV14" s="13">
        <f t="shared" si="8"/>
        <v>8.9249999999999989E-3</v>
      </c>
      <c r="AW14" s="13">
        <f t="shared" si="8"/>
        <v>8.9249999999999989E-3</v>
      </c>
      <c r="AX14" s="13">
        <f t="shared" si="8"/>
        <v>8.9249999999999989E-3</v>
      </c>
      <c r="AY14" s="13">
        <f t="shared" si="8"/>
        <v>8.9249999999999989E-3</v>
      </c>
      <c r="AZ14" s="13">
        <f t="shared" si="8"/>
        <v>8.9249999999999989E-3</v>
      </c>
      <c r="BA14" s="13">
        <f t="shared" si="8"/>
        <v>8.9249999999999989E-3</v>
      </c>
      <c r="BB14" s="13">
        <f t="shared" si="8"/>
        <v>8.9249999999999989E-3</v>
      </c>
      <c r="BC14" s="13">
        <f t="shared" si="8"/>
        <v>8.9249999999999989E-3</v>
      </c>
      <c r="BD14" s="13">
        <f t="shared" si="8"/>
        <v>8.9249999999999989E-3</v>
      </c>
      <c r="BE14" s="13">
        <f t="shared" si="8"/>
        <v>8.9249999999999989E-3</v>
      </c>
      <c r="BF14" s="13">
        <f t="shared" si="8"/>
        <v>8.9249999999999989E-3</v>
      </c>
      <c r="BG14" s="13">
        <f t="shared" si="8"/>
        <v>8.9249999999999989E-3</v>
      </c>
      <c r="BH14" s="13">
        <f t="shared" si="8"/>
        <v>8.9249999999999989E-3</v>
      </c>
      <c r="BI14" s="13">
        <f t="shared" si="8"/>
        <v>8.9249999999999989E-3</v>
      </c>
      <c r="BJ14" s="13">
        <f t="shared" si="8"/>
        <v>8.9249999999999989E-3</v>
      </c>
      <c r="BK14" s="13">
        <f t="shared" si="8"/>
        <v>8.9249999999999989E-3</v>
      </c>
      <c r="BL14" s="13">
        <f t="shared" si="8"/>
        <v>8.9249999999999989E-3</v>
      </c>
      <c r="BM14" s="13">
        <f t="shared" si="8"/>
        <v>8.9249999999999989E-3</v>
      </c>
      <c r="BN14" s="13">
        <f t="shared" si="8"/>
        <v>8.9249999999999989E-3</v>
      </c>
      <c r="BO14" s="13">
        <f t="shared" si="8"/>
        <v>8.9249999999999989E-3</v>
      </c>
      <c r="BP14" s="13">
        <f t="shared" si="8"/>
        <v>1.0089250000000001</v>
      </c>
      <c r="BQ14" s="13" t="str">
        <f t="shared" si="8"/>
        <v/>
      </c>
      <c r="BR14" s="13" t="str">
        <f t="shared" si="8"/>
        <v/>
      </c>
      <c r="BS14" s="13" t="str">
        <f t="shared" si="8"/>
        <v/>
      </c>
      <c r="BT14" s="13" t="str">
        <f t="shared" si="8"/>
        <v/>
      </c>
      <c r="BU14" s="13" t="str">
        <f t="shared" si="8"/>
        <v/>
      </c>
      <c r="BV14" s="13" t="str">
        <f t="shared" si="7"/>
        <v/>
      </c>
      <c r="BW14" s="13" t="str">
        <f t="shared" si="7"/>
        <v/>
      </c>
      <c r="BX14" s="13" t="str">
        <f t="shared" si="7"/>
        <v/>
      </c>
      <c r="BY14" s="13" t="str">
        <f t="shared" si="7"/>
        <v/>
      </c>
      <c r="BZ14" s="13" t="str">
        <f t="shared" si="7"/>
        <v/>
      </c>
      <c r="CA14" s="13" t="str">
        <f t="shared" si="7"/>
        <v/>
      </c>
      <c r="CB14" s="13" t="str">
        <f t="shared" si="7"/>
        <v/>
      </c>
      <c r="CC14" s="13" t="str">
        <f t="shared" si="7"/>
        <v/>
      </c>
      <c r="CD14" s="13" t="str">
        <f t="shared" si="7"/>
        <v/>
      </c>
      <c r="CE14" s="13" t="str">
        <f t="shared" si="7"/>
        <v/>
      </c>
      <c r="CF14" s="13" t="str">
        <f t="shared" si="7"/>
        <v/>
      </c>
      <c r="CG14" s="13" t="str">
        <f t="shared" si="7"/>
        <v/>
      </c>
      <c r="CH14" s="13" t="str">
        <f t="shared" si="7"/>
        <v/>
      </c>
      <c r="CI14" s="13" t="str">
        <f t="shared" si="7"/>
        <v/>
      </c>
      <c r="CJ14" s="13" t="str">
        <f t="shared" si="7"/>
        <v/>
      </c>
    </row>
    <row r="15" spans="1:88" x14ac:dyDescent="0.3">
      <c r="A15" s="45" t="s">
        <v>1581</v>
      </c>
      <c r="B15" s="5"/>
      <c r="C15" s="2">
        <f>market_data!H14%</f>
        <v>3.4349999999999999E-2</v>
      </c>
      <c r="D15" s="12">
        <v>240</v>
      </c>
      <c r="E15" s="12">
        <v>39</v>
      </c>
      <c r="F15" s="15">
        <f>(F18-F14)/(E18-E14)*3+F14</f>
        <v>0.89142581302474388</v>
      </c>
      <c r="G15" s="15"/>
      <c r="H15" s="15"/>
      <c r="I15" s="13">
        <f t="shared" si="3"/>
        <v>8.5874999999999996E-3</v>
      </c>
      <c r="J15" s="13">
        <f t="shared" si="8"/>
        <v>8.5874999999999996E-3</v>
      </c>
      <c r="K15" s="13">
        <f t="shared" si="8"/>
        <v>8.5874999999999996E-3</v>
      </c>
      <c r="L15" s="13">
        <f t="shared" si="8"/>
        <v>8.5874999999999996E-3</v>
      </c>
      <c r="M15" s="13">
        <f t="shared" si="8"/>
        <v>8.5874999999999996E-3</v>
      </c>
      <c r="N15" s="13">
        <f t="shared" si="8"/>
        <v>8.5874999999999996E-3</v>
      </c>
      <c r="O15" s="13">
        <f t="shared" si="8"/>
        <v>8.5874999999999996E-3</v>
      </c>
      <c r="P15" s="13">
        <f t="shared" si="8"/>
        <v>8.5874999999999996E-3</v>
      </c>
      <c r="Q15" s="13">
        <f t="shared" si="8"/>
        <v>8.5874999999999996E-3</v>
      </c>
      <c r="R15" s="13">
        <f t="shared" si="8"/>
        <v>8.5874999999999996E-3</v>
      </c>
      <c r="S15" s="13">
        <f t="shared" si="8"/>
        <v>8.5874999999999996E-3</v>
      </c>
      <c r="T15" s="13">
        <f t="shared" si="8"/>
        <v>8.5874999999999996E-3</v>
      </c>
      <c r="U15" s="13">
        <f t="shared" si="8"/>
        <v>8.5874999999999996E-3</v>
      </c>
      <c r="V15" s="13">
        <f t="shared" si="8"/>
        <v>8.5874999999999996E-3</v>
      </c>
      <c r="W15" s="13">
        <f t="shared" si="8"/>
        <v>8.5874999999999996E-3</v>
      </c>
      <c r="X15" s="13">
        <f t="shared" si="8"/>
        <v>8.5874999999999996E-3</v>
      </c>
      <c r="Y15" s="13">
        <f t="shared" si="8"/>
        <v>8.5874999999999996E-3</v>
      </c>
      <c r="Z15" s="13">
        <f t="shared" si="8"/>
        <v>8.5874999999999996E-3</v>
      </c>
      <c r="AA15" s="13">
        <f t="shared" si="8"/>
        <v>8.5874999999999996E-3</v>
      </c>
      <c r="AB15" s="13">
        <f t="shared" si="8"/>
        <v>8.5874999999999996E-3</v>
      </c>
      <c r="AC15" s="13">
        <f t="shared" si="8"/>
        <v>8.5874999999999996E-3</v>
      </c>
      <c r="AD15" s="13">
        <f t="shared" si="8"/>
        <v>8.5874999999999996E-3</v>
      </c>
      <c r="AE15" s="13">
        <f t="shared" si="8"/>
        <v>8.5874999999999996E-3</v>
      </c>
      <c r="AF15" s="13">
        <f t="shared" si="8"/>
        <v>8.5874999999999996E-3</v>
      </c>
      <c r="AG15" s="13">
        <f t="shared" si="8"/>
        <v>8.5874999999999996E-3</v>
      </c>
      <c r="AH15" s="13">
        <f t="shared" si="8"/>
        <v>8.5874999999999996E-3</v>
      </c>
      <c r="AI15" s="13">
        <f t="shared" si="8"/>
        <v>8.5874999999999996E-3</v>
      </c>
      <c r="AJ15" s="13">
        <f t="shared" si="8"/>
        <v>8.5874999999999996E-3</v>
      </c>
      <c r="AK15" s="13">
        <f t="shared" si="8"/>
        <v>8.5874999999999996E-3</v>
      </c>
      <c r="AL15" s="13">
        <f t="shared" si="8"/>
        <v>8.5874999999999996E-3</v>
      </c>
      <c r="AM15" s="13">
        <f t="shared" si="8"/>
        <v>8.5874999999999996E-3</v>
      </c>
      <c r="AN15" s="13">
        <f t="shared" si="8"/>
        <v>8.5874999999999996E-3</v>
      </c>
      <c r="AO15" s="13">
        <f t="shared" si="8"/>
        <v>8.5874999999999996E-3</v>
      </c>
      <c r="AP15" s="13">
        <f t="shared" si="8"/>
        <v>8.5874999999999996E-3</v>
      </c>
      <c r="AQ15" s="13">
        <f t="shared" si="8"/>
        <v>8.5874999999999996E-3</v>
      </c>
      <c r="AR15" s="13">
        <f t="shared" si="8"/>
        <v>8.5874999999999996E-3</v>
      </c>
      <c r="AS15" s="13">
        <f t="shared" si="8"/>
        <v>8.5874999999999996E-3</v>
      </c>
      <c r="AT15" s="13">
        <f t="shared" si="8"/>
        <v>8.5874999999999996E-3</v>
      </c>
      <c r="AU15" s="13">
        <f t="shared" si="8"/>
        <v>8.5874999999999996E-3</v>
      </c>
      <c r="AV15" s="13">
        <f t="shared" si="8"/>
        <v>8.5874999999999996E-3</v>
      </c>
      <c r="AW15" s="13">
        <f t="shared" si="8"/>
        <v>8.5874999999999996E-3</v>
      </c>
      <c r="AX15" s="13">
        <f t="shared" si="8"/>
        <v>8.5874999999999996E-3</v>
      </c>
      <c r="AY15" s="13">
        <f t="shared" si="8"/>
        <v>8.5874999999999996E-3</v>
      </c>
      <c r="AZ15" s="13">
        <f t="shared" si="8"/>
        <v>8.5874999999999996E-3</v>
      </c>
      <c r="BA15" s="13">
        <f t="shared" si="8"/>
        <v>8.5874999999999996E-3</v>
      </c>
      <c r="BB15" s="13">
        <f t="shared" si="8"/>
        <v>8.5874999999999996E-3</v>
      </c>
      <c r="BC15" s="13">
        <f t="shared" si="8"/>
        <v>8.5874999999999996E-3</v>
      </c>
      <c r="BD15" s="13">
        <f t="shared" si="8"/>
        <v>8.5874999999999996E-3</v>
      </c>
      <c r="BE15" s="13">
        <f t="shared" si="8"/>
        <v>8.5874999999999996E-3</v>
      </c>
      <c r="BF15" s="13">
        <f t="shared" si="8"/>
        <v>8.5874999999999996E-3</v>
      </c>
      <c r="BG15" s="13">
        <f t="shared" si="8"/>
        <v>8.5874999999999996E-3</v>
      </c>
      <c r="BH15" s="13">
        <f t="shared" si="8"/>
        <v>8.5874999999999996E-3</v>
      </c>
      <c r="BI15" s="13">
        <f t="shared" si="8"/>
        <v>8.5874999999999996E-3</v>
      </c>
      <c r="BJ15" s="13">
        <f t="shared" si="8"/>
        <v>8.5874999999999996E-3</v>
      </c>
      <c r="BK15" s="13">
        <f t="shared" si="8"/>
        <v>8.5874999999999996E-3</v>
      </c>
      <c r="BL15" s="13">
        <f t="shared" si="8"/>
        <v>8.5874999999999996E-3</v>
      </c>
      <c r="BM15" s="13">
        <f t="shared" si="8"/>
        <v>8.5874999999999996E-3</v>
      </c>
      <c r="BN15" s="13">
        <f t="shared" si="8"/>
        <v>8.5874999999999996E-3</v>
      </c>
      <c r="BO15" s="13">
        <f t="shared" si="8"/>
        <v>8.5874999999999996E-3</v>
      </c>
      <c r="BP15" s="13">
        <f t="shared" si="8"/>
        <v>8.5874999999999996E-3</v>
      </c>
      <c r="BQ15" s="13">
        <f t="shared" si="8"/>
        <v>8.5874999999999996E-3</v>
      </c>
      <c r="BR15" s="13">
        <f t="shared" si="8"/>
        <v>8.5874999999999996E-3</v>
      </c>
      <c r="BS15" s="13">
        <f t="shared" si="8"/>
        <v>8.5874999999999996E-3</v>
      </c>
      <c r="BT15" s="13">
        <f t="shared" si="8"/>
        <v>8.5874999999999996E-3</v>
      </c>
      <c r="BU15" s="13">
        <f t="shared" si="8"/>
        <v>8.5874999999999996E-3</v>
      </c>
      <c r="BV15" s="13">
        <f t="shared" si="7"/>
        <v>8.5874999999999996E-3</v>
      </c>
      <c r="BW15" s="13">
        <f t="shared" si="7"/>
        <v>8.5874999999999996E-3</v>
      </c>
      <c r="BX15" s="13">
        <f t="shared" si="7"/>
        <v>8.5874999999999996E-3</v>
      </c>
      <c r="BY15" s="13">
        <f t="shared" si="7"/>
        <v>8.5874999999999996E-3</v>
      </c>
      <c r="BZ15" s="13">
        <f t="shared" si="7"/>
        <v>8.5874999999999996E-3</v>
      </c>
      <c r="CA15" s="13">
        <f t="shared" si="7"/>
        <v>8.5874999999999996E-3</v>
      </c>
      <c r="CB15" s="13">
        <f t="shared" si="7"/>
        <v>8.5874999999999996E-3</v>
      </c>
      <c r="CC15" s="13">
        <f t="shared" si="7"/>
        <v>8.5874999999999996E-3</v>
      </c>
      <c r="CD15" s="13">
        <f t="shared" si="7"/>
        <v>8.5874999999999996E-3</v>
      </c>
      <c r="CE15" s="13">
        <f t="shared" si="7"/>
        <v>8.5874999999999996E-3</v>
      </c>
      <c r="CF15" s="13">
        <f t="shared" si="7"/>
        <v>8.5874999999999996E-3</v>
      </c>
      <c r="CG15" s="13">
        <f t="shared" si="7"/>
        <v>8.5874999999999996E-3</v>
      </c>
      <c r="CH15" s="13">
        <f t="shared" si="7"/>
        <v>8.5874999999999996E-3</v>
      </c>
      <c r="CI15" s="13">
        <f t="shared" si="7"/>
        <v>8.5874999999999996E-3</v>
      </c>
      <c r="CJ15" s="13">
        <f t="shared" si="7"/>
        <v>1.0085875</v>
      </c>
    </row>
    <row r="16" spans="1:88" x14ac:dyDescent="0.3">
      <c r="E16" s="12">
        <v>42</v>
      </c>
      <c r="F16" s="15">
        <f>(F18-F14)/(E18-E14)*3+F15</f>
        <v>0.88356193975522568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</row>
    <row r="17" spans="1:88" x14ac:dyDescent="0.3">
      <c r="E17" s="12">
        <v>45</v>
      </c>
      <c r="F17" s="15">
        <f>F16+(F18-F14)/(E18-E14)*3</f>
        <v>0.87569806648570747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</row>
    <row r="18" spans="1:88" ht="17.25" thickBot="1" x14ac:dyDescent="0.35">
      <c r="E18" s="34">
        <v>48</v>
      </c>
      <c r="F18" s="4">
        <v>0.86783419321618949</v>
      </c>
      <c r="G18" s="15">
        <f t="array" ref="G18">SUMPRODUCT(F3:F18,TRANSPOSE(I9:X9))</f>
        <v>1.0000009810438586</v>
      </c>
      <c r="H18" s="15"/>
      <c r="I18" s="15"/>
      <c r="J18" s="15"/>
      <c r="K18" s="15" t="s">
        <v>1591</v>
      </c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</row>
    <row r="19" spans="1:88" x14ac:dyDescent="0.3">
      <c r="B19" s="32">
        <f>C3</f>
        <v>3.5699999999999996E-2</v>
      </c>
      <c r="E19" s="12">
        <v>51</v>
      </c>
      <c r="F19" s="15">
        <f>(F22-F18)/(E22-E18)*3+F18</f>
        <v>0.86039014294347027</v>
      </c>
      <c r="G19" s="15"/>
      <c r="H19" s="15"/>
      <c r="I19" s="15"/>
      <c r="J19" s="36" t="s">
        <v>1543</v>
      </c>
      <c r="K19" s="41">
        <v>0.99108189214639553</v>
      </c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</row>
    <row r="20" spans="1:88" x14ac:dyDescent="0.3">
      <c r="A20" t="s">
        <v>1524</v>
      </c>
      <c r="B20">
        <v>365</v>
      </c>
      <c r="E20" s="12">
        <v>54</v>
      </c>
      <c r="F20">
        <f>F19+(F22-F18)/(E22-E18)*3</f>
        <v>0.85294609267075105</v>
      </c>
      <c r="J20" s="37" t="s">
        <v>1547</v>
      </c>
      <c r="K20" s="39">
        <v>0.98224109269749027</v>
      </c>
    </row>
    <row r="21" spans="1:88" x14ac:dyDescent="0.3">
      <c r="E21" s="12">
        <v>57</v>
      </c>
      <c r="F21">
        <f>F20+(F22-F18)/(E22-E18)*3</f>
        <v>0.84550204239803184</v>
      </c>
      <c r="J21" s="37" t="s">
        <v>1551</v>
      </c>
      <c r="K21" s="39">
        <v>0.97342037489517186</v>
      </c>
    </row>
    <row r="22" spans="1:88" x14ac:dyDescent="0.3">
      <c r="B22" s="4"/>
      <c r="E22" s="34">
        <v>60</v>
      </c>
      <c r="F22" s="4">
        <v>0.83805799212531251</v>
      </c>
      <c r="G22">
        <f t="array" ref="G22">SUMPRODUCT(F3:F22,TRANSPOSE(I10:AB10))</f>
        <v>1.0000009793284648</v>
      </c>
      <c r="J22" s="37" t="s">
        <v>1553</v>
      </c>
      <c r="K22" s="39">
        <v>0.96460232158404957</v>
      </c>
    </row>
    <row r="23" spans="1:88" x14ac:dyDescent="0.3">
      <c r="E23" s="12">
        <v>63</v>
      </c>
      <c r="F23">
        <f>(F30-F22)/(E30-E22)*3+F22</f>
        <v>0.83085380792526342</v>
      </c>
      <c r="J23" s="37" t="s">
        <v>1557</v>
      </c>
      <c r="K23" s="39">
        <v>0.93130187189917335</v>
      </c>
    </row>
    <row r="24" spans="1:88" x14ac:dyDescent="0.3">
      <c r="E24" s="12">
        <v>66</v>
      </c>
      <c r="F24">
        <f>F23+(F30-F22)/(E30-E22)*3</f>
        <v>0.82364962372521433</v>
      </c>
      <c r="J24" s="37" t="s">
        <v>1561</v>
      </c>
      <c r="K24" s="39">
        <v>0.89928968629426209</v>
      </c>
    </row>
    <row r="25" spans="1:88" x14ac:dyDescent="0.3">
      <c r="E25" s="12">
        <v>69</v>
      </c>
      <c r="F25">
        <f>F24+(F30-F22)/(E30-E22)*3</f>
        <v>0.81644543952516524</v>
      </c>
      <c r="J25" s="37" t="s">
        <v>1565</v>
      </c>
      <c r="K25" s="39">
        <v>0.86783419321618949</v>
      </c>
    </row>
    <row r="26" spans="1:88" x14ac:dyDescent="0.3">
      <c r="E26" s="12">
        <v>72</v>
      </c>
      <c r="F26">
        <f>F25+(F30-F22)/(E30-E22)*3</f>
        <v>0.80924125532511615</v>
      </c>
      <c r="J26" s="37" t="s">
        <v>1567</v>
      </c>
      <c r="K26" s="39">
        <v>0.83805799212531251</v>
      </c>
    </row>
    <row r="27" spans="1:88" x14ac:dyDescent="0.3">
      <c r="E27" s="12">
        <v>75</v>
      </c>
      <c r="F27">
        <f>F26+(F30-F22)/(E30-E22)*3</f>
        <v>0.80203707112506706</v>
      </c>
      <c r="J27" s="37" t="s">
        <v>1571</v>
      </c>
      <c r="K27" s="39">
        <v>0.78042451852491945</v>
      </c>
    </row>
    <row r="28" spans="1:88" x14ac:dyDescent="0.3">
      <c r="E28" s="12">
        <v>78</v>
      </c>
      <c r="F28">
        <f>F27+(F30-F22)/(E30-E22)*3</f>
        <v>0.79483288692501797</v>
      </c>
      <c r="J28" s="37" t="s">
        <v>1573</v>
      </c>
      <c r="K28" s="39">
        <v>0.70106267521858323</v>
      </c>
    </row>
    <row r="29" spans="1:88" x14ac:dyDescent="0.3">
      <c r="E29" s="12">
        <v>81</v>
      </c>
      <c r="F29">
        <f>F28+(F30-F22)/(E30-E22)*3</f>
        <v>0.78762870272496888</v>
      </c>
      <c r="J29" s="37" t="s">
        <v>1577</v>
      </c>
      <c r="K29" s="39">
        <v>0.65206870829958985</v>
      </c>
    </row>
    <row r="30" spans="1:88" x14ac:dyDescent="0.3">
      <c r="E30" s="34">
        <v>84</v>
      </c>
      <c r="F30" s="4">
        <v>0.78042451852491945</v>
      </c>
      <c r="G30">
        <f t="array" ref="G30">SUMPRODUCT(F3:F30,TRANSPOSE(I11:AJ11))</f>
        <v>1.0000000000000235</v>
      </c>
      <c r="J30" s="37" t="s">
        <v>1579</v>
      </c>
      <c r="K30" s="39">
        <v>0.58652125083719864</v>
      </c>
    </row>
    <row r="31" spans="1:88" ht="17.25" thickBot="1" x14ac:dyDescent="0.35">
      <c r="B31" s="30"/>
      <c r="E31" s="12">
        <v>87</v>
      </c>
      <c r="F31">
        <f>(F42-F30)/(E42-E30)*3+F30</f>
        <v>0.7738110315827248</v>
      </c>
      <c r="J31" s="38" t="s">
        <v>1581</v>
      </c>
      <c r="K31" s="40">
        <v>0.5084606459457981</v>
      </c>
    </row>
    <row r="32" spans="1:88" x14ac:dyDescent="0.3">
      <c r="A32" s="1"/>
      <c r="E32" s="12">
        <v>90</v>
      </c>
      <c r="F32">
        <f>F31+(F42-F30)/(E42-E30)*3</f>
        <v>0.76719754464053014</v>
      </c>
      <c r="J32" s="18"/>
    </row>
    <row r="33" spans="2:10" x14ac:dyDescent="0.3">
      <c r="E33" s="12">
        <v>93</v>
      </c>
      <c r="F33">
        <f>F32+(F42-F30)/(E42-E30)*3</f>
        <v>0.76058405769833548</v>
      </c>
      <c r="J33" s="18"/>
    </row>
    <row r="34" spans="2:10" x14ac:dyDescent="0.3">
      <c r="B34" s="1"/>
      <c r="E34" s="12">
        <v>96</v>
      </c>
      <c r="F34">
        <f>F33+(F42-F30)/(E42-E30)*3</f>
        <v>0.75397057075614082</v>
      </c>
    </row>
    <row r="35" spans="2:10" x14ac:dyDescent="0.3">
      <c r="E35" s="12">
        <v>99</v>
      </c>
      <c r="F35">
        <f>F34+(F42-F30)/(E42-E30)*3</f>
        <v>0.74735708381394617</v>
      </c>
    </row>
    <row r="36" spans="2:10" x14ac:dyDescent="0.3">
      <c r="E36" s="12">
        <v>102</v>
      </c>
      <c r="F36">
        <f>F35+(F42-F30)/(E42-E30)*3</f>
        <v>0.74074359687175151</v>
      </c>
    </row>
    <row r="37" spans="2:10" x14ac:dyDescent="0.3">
      <c r="E37" s="12">
        <v>105</v>
      </c>
      <c r="F37">
        <f>F36+(F42-F30)/(E42-E30)*3</f>
        <v>0.73413010992955685</v>
      </c>
    </row>
    <row r="38" spans="2:10" x14ac:dyDescent="0.3">
      <c r="E38" s="12">
        <v>108</v>
      </c>
      <c r="F38">
        <f>F37+(F42-F30)/(E42-E30)*3</f>
        <v>0.72751662298736219</v>
      </c>
    </row>
    <row r="39" spans="2:10" x14ac:dyDescent="0.3">
      <c r="E39" s="12">
        <v>111</v>
      </c>
      <c r="F39">
        <f>F38+(F42-F30)/(E42-E30)*3</f>
        <v>0.72090313604516754</v>
      </c>
    </row>
    <row r="40" spans="2:10" x14ac:dyDescent="0.3">
      <c r="E40" s="12">
        <v>114</v>
      </c>
      <c r="F40">
        <f>F39+(F42-F30)/(E42-E30)*3</f>
        <v>0.71428964910297288</v>
      </c>
    </row>
    <row r="41" spans="2:10" x14ac:dyDescent="0.3">
      <c r="E41" s="12">
        <v>117</v>
      </c>
      <c r="F41">
        <f>F40+(F42-F30)/(E42-E30)*3</f>
        <v>0.70767616216077822</v>
      </c>
    </row>
    <row r="42" spans="2:10" x14ac:dyDescent="0.3">
      <c r="E42" s="34">
        <v>120</v>
      </c>
      <c r="F42" s="4">
        <v>0.70106267521858323</v>
      </c>
      <c r="G42">
        <f t="array" ref="G42">SUMPRODUCT(F3:F42,TRANSPOSE(I12:AV12))</f>
        <v>1.0000008723739964</v>
      </c>
    </row>
    <row r="43" spans="2:10" x14ac:dyDescent="0.3">
      <c r="E43" s="12">
        <v>123</v>
      </c>
      <c r="F43">
        <f>(F50-F42)/(E50-E42)*3+F42</f>
        <v>0.69493842935370909</v>
      </c>
    </row>
    <row r="44" spans="2:10" x14ac:dyDescent="0.3">
      <c r="E44" s="12">
        <v>126</v>
      </c>
      <c r="F44">
        <f>F43+(F50-F42)/(E50-E42)*3</f>
        <v>0.68881418348883494</v>
      </c>
    </row>
    <row r="45" spans="2:10" x14ac:dyDescent="0.3">
      <c r="E45" s="12">
        <v>129</v>
      </c>
      <c r="F45">
        <f>F44+(F50-F42)/(E50-E42)*3</f>
        <v>0.6826899376239608</v>
      </c>
    </row>
    <row r="46" spans="2:10" x14ac:dyDescent="0.3">
      <c r="E46" s="12">
        <v>132</v>
      </c>
      <c r="F46">
        <f>F45+(F50-F42)/(E50-E42)*3</f>
        <v>0.67656569175908665</v>
      </c>
    </row>
    <row r="47" spans="2:10" x14ac:dyDescent="0.3">
      <c r="E47" s="12">
        <v>135</v>
      </c>
      <c r="F47">
        <f>F46+(F50-F42)/(E50-E42)*3</f>
        <v>0.67044144589421251</v>
      </c>
    </row>
    <row r="48" spans="2:10" x14ac:dyDescent="0.3">
      <c r="E48" s="12">
        <v>138</v>
      </c>
      <c r="F48">
        <f>F47+(F50-F42)/(E50-E42)*3</f>
        <v>0.66431720002933836</v>
      </c>
    </row>
    <row r="49" spans="5:7" x14ac:dyDescent="0.3">
      <c r="E49" s="12">
        <v>141</v>
      </c>
      <c r="F49">
        <f>F48+(F50-F42)/(E50-E42)*3</f>
        <v>0.65819295416446422</v>
      </c>
    </row>
    <row r="50" spans="5:7" x14ac:dyDescent="0.3">
      <c r="E50" s="34">
        <v>144</v>
      </c>
      <c r="F50" s="4">
        <v>0.65206870829958985</v>
      </c>
      <c r="G50">
        <f t="array" ref="G50">SUMPRODUCT(F3:F50,TRANSPOSE(I13:BD13))</f>
        <v>1.0000009469435149</v>
      </c>
    </row>
    <row r="51" spans="5:7" x14ac:dyDescent="0.3">
      <c r="E51" s="12">
        <v>147</v>
      </c>
      <c r="F51">
        <f>(F62-F50)/(E62-E50)*3+F50</f>
        <v>0.64660642017772396</v>
      </c>
    </row>
    <row r="52" spans="5:7" x14ac:dyDescent="0.3">
      <c r="E52" s="12">
        <v>150</v>
      </c>
      <c r="F52">
        <f>F51+(F62-F50)/(E62-E50)*3</f>
        <v>0.64114413205585807</v>
      </c>
    </row>
    <row r="53" spans="5:7" x14ac:dyDescent="0.3">
      <c r="E53" s="12">
        <v>153</v>
      </c>
      <c r="F53">
        <f>F52+(F62-F50)/(E62-E50)*3</f>
        <v>0.63568184393399219</v>
      </c>
    </row>
    <row r="54" spans="5:7" x14ac:dyDescent="0.3">
      <c r="E54" s="12">
        <v>156</v>
      </c>
      <c r="F54">
        <f>F53+(F62-F50)/(E62-E50)*3</f>
        <v>0.6302195558121263</v>
      </c>
    </row>
    <row r="55" spans="5:7" x14ac:dyDescent="0.3">
      <c r="E55" s="12">
        <v>159</v>
      </c>
      <c r="F55">
        <f>F54+(F62-F50)/(E62-E50)*3</f>
        <v>0.62475726769026041</v>
      </c>
    </row>
    <row r="56" spans="5:7" x14ac:dyDescent="0.3">
      <c r="E56" s="12">
        <v>162</v>
      </c>
      <c r="F56">
        <f>F55+(F62-F50)/(E62-E50)*3</f>
        <v>0.61929497956839452</v>
      </c>
    </row>
    <row r="57" spans="5:7" x14ac:dyDescent="0.3">
      <c r="E57" s="12">
        <v>165</v>
      </c>
      <c r="F57">
        <f>F56+(F62-F50)/(E62-E50)*3</f>
        <v>0.61383269144652863</v>
      </c>
    </row>
    <row r="58" spans="5:7" x14ac:dyDescent="0.3">
      <c r="E58" s="12">
        <v>168</v>
      </c>
      <c r="F58">
        <f>F57+(F62-F50)/(E62-E50)*3</f>
        <v>0.60837040332466275</v>
      </c>
    </row>
    <row r="59" spans="5:7" x14ac:dyDescent="0.3">
      <c r="E59" s="12">
        <v>171</v>
      </c>
      <c r="F59">
        <f>F58+(F62-F50)/(E62-E50)*3</f>
        <v>0.60290811520279686</v>
      </c>
    </row>
    <row r="60" spans="5:7" x14ac:dyDescent="0.3">
      <c r="E60" s="12">
        <v>174</v>
      </c>
      <c r="F60">
        <f>F59+(F62-F50)/(E62-E50)*3</f>
        <v>0.59744582708093097</v>
      </c>
    </row>
    <row r="61" spans="5:7" x14ac:dyDescent="0.3">
      <c r="E61" s="12">
        <v>177</v>
      </c>
      <c r="F61">
        <f>F60+(F62-F50)/(E62-E50)*3</f>
        <v>0.59198353895906508</v>
      </c>
    </row>
    <row r="62" spans="5:7" x14ac:dyDescent="0.3">
      <c r="E62" s="34">
        <v>180</v>
      </c>
      <c r="F62" s="4">
        <v>0.58652125083719864</v>
      </c>
      <c r="G62">
        <f t="array" ref="G62">SUMPRODUCT(F3:F62,TRANSPOSE(I14:BP14))</f>
        <v>1.000000857748387</v>
      </c>
    </row>
    <row r="63" spans="5:7" x14ac:dyDescent="0.3">
      <c r="E63" s="12">
        <v>183</v>
      </c>
      <c r="F63">
        <f>(F82-F62)/(E82-E62)*3+F62</f>
        <v>0.58261822059262858</v>
      </c>
    </row>
    <row r="64" spans="5:7" x14ac:dyDescent="0.3">
      <c r="E64" s="12">
        <v>186</v>
      </c>
      <c r="F64">
        <f>F63+(F82-F62)/(E82-E62)*3</f>
        <v>0.57871519034805852</v>
      </c>
    </row>
    <row r="65" spans="5:6" x14ac:dyDescent="0.3">
      <c r="E65" s="12">
        <v>189</v>
      </c>
      <c r="F65">
        <f>F64+(F82-F62)/(E82-E62)*3</f>
        <v>0.57481216010348846</v>
      </c>
    </row>
    <row r="66" spans="5:6" x14ac:dyDescent="0.3">
      <c r="E66" s="12">
        <v>192</v>
      </c>
      <c r="F66">
        <f>F65+(F82-F62)/(E82-E62)*3</f>
        <v>0.5709091298589184</v>
      </c>
    </row>
    <row r="67" spans="5:6" x14ac:dyDescent="0.3">
      <c r="E67" s="12">
        <v>195</v>
      </c>
      <c r="F67">
        <f>F66+(F82-F62)/(E82-E62)*3</f>
        <v>0.56700609961434834</v>
      </c>
    </row>
    <row r="68" spans="5:6" x14ac:dyDescent="0.3">
      <c r="E68" s="12">
        <v>198</v>
      </c>
      <c r="F68">
        <f>F67+(F82-F62)/(E82-E62)*3</f>
        <v>0.56310306936977828</v>
      </c>
    </row>
    <row r="69" spans="5:6" x14ac:dyDescent="0.3">
      <c r="E69" s="12">
        <v>201</v>
      </c>
      <c r="F69">
        <f>F68+(F82-F62)/(E82-E62)*3</f>
        <v>0.55920003912520821</v>
      </c>
    </row>
    <row r="70" spans="5:6" x14ac:dyDescent="0.3">
      <c r="E70" s="12">
        <v>204</v>
      </c>
      <c r="F70">
        <f>F69+(F82-F62)/(E82-E62)*3</f>
        <v>0.55529700888063815</v>
      </c>
    </row>
    <row r="71" spans="5:6" x14ac:dyDescent="0.3">
      <c r="E71" s="12">
        <v>207</v>
      </c>
      <c r="F71">
        <f>F70+(F82-F62)/(E82-E62)*3</f>
        <v>0.55139397863606809</v>
      </c>
    </row>
    <row r="72" spans="5:6" x14ac:dyDescent="0.3">
      <c r="E72" s="12">
        <v>210</v>
      </c>
      <c r="F72">
        <f>F71+(F82-F62)/(E82-E62)*3</f>
        <v>0.54749094839149803</v>
      </c>
    </row>
    <row r="73" spans="5:6" x14ac:dyDescent="0.3">
      <c r="E73" s="12">
        <v>213</v>
      </c>
      <c r="F73">
        <f>F72+(F82-F62)/(E82-E62)*3</f>
        <v>0.54358791814692797</v>
      </c>
    </row>
    <row r="74" spans="5:6" x14ac:dyDescent="0.3">
      <c r="E74" s="12">
        <v>216</v>
      </c>
      <c r="F74">
        <f>F73+(F82-F62)/(E82-E62)*3</f>
        <v>0.53968488790235791</v>
      </c>
    </row>
    <row r="75" spans="5:6" x14ac:dyDescent="0.3">
      <c r="E75" s="12">
        <v>219</v>
      </c>
      <c r="F75">
        <f>F74+(F82-F62)/(E82-E62)*3</f>
        <v>0.53578185765778785</v>
      </c>
    </row>
    <row r="76" spans="5:6" x14ac:dyDescent="0.3">
      <c r="E76" s="12">
        <v>222</v>
      </c>
      <c r="F76">
        <f>F75+(F82-F62)/(E82-E62)*3</f>
        <v>0.53187882741321779</v>
      </c>
    </row>
    <row r="77" spans="5:6" x14ac:dyDescent="0.3">
      <c r="E77" s="12">
        <v>225</v>
      </c>
      <c r="F77">
        <f>F76+(F82-F62)/(E82-E62)*3</f>
        <v>0.52797579716864773</v>
      </c>
    </row>
    <row r="78" spans="5:6" x14ac:dyDescent="0.3">
      <c r="E78" s="12">
        <v>228</v>
      </c>
      <c r="F78">
        <f>F77+(F82-F62)/(E82-E62)*3</f>
        <v>0.52407276692407767</v>
      </c>
    </row>
    <row r="79" spans="5:6" x14ac:dyDescent="0.3">
      <c r="E79" s="12">
        <v>231</v>
      </c>
      <c r="F79">
        <f>F78+(F82-F62)/(E82-E62)*3</f>
        <v>0.52016973667950761</v>
      </c>
    </row>
    <row r="80" spans="5:6" x14ac:dyDescent="0.3">
      <c r="E80" s="12">
        <v>234</v>
      </c>
      <c r="F80">
        <f>F79+(F82-F62)/(E82-E62)*3</f>
        <v>0.51626670643493755</v>
      </c>
    </row>
    <row r="81" spans="5:7" x14ac:dyDescent="0.3">
      <c r="E81" s="12">
        <v>237</v>
      </c>
      <c r="F81">
        <f>F80+(F82-F62)/(E82-E62)*3</f>
        <v>0.51236367619036749</v>
      </c>
    </row>
    <row r="82" spans="5:7" x14ac:dyDescent="0.3">
      <c r="E82" s="34">
        <v>240</v>
      </c>
      <c r="F82" s="4">
        <v>0.5084606459457981</v>
      </c>
      <c r="G82">
        <f t="array" ref="G82">SUMPRODUCT(F3:F82,TRANSPOSE(I15:CJ15))</f>
        <v>1.0000008670663489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EEDC3-2C12-4057-AE16-A2C058E1EB70}">
  <sheetPr codeName="Sheet4"/>
  <dimension ref="A1:S751"/>
  <sheetViews>
    <sheetView topLeftCell="A46" workbookViewId="0">
      <selection activeCell="R65" sqref="R65"/>
    </sheetView>
  </sheetViews>
  <sheetFormatPr defaultRowHeight="16.5" x14ac:dyDescent="0.3"/>
  <cols>
    <col min="16" max="16" width="11.125" style="32" bestFit="1" customWidth="1"/>
    <col min="19" max="19" width="19.375" bestFit="1" customWidth="1"/>
  </cols>
  <sheetData>
    <row r="1" spans="1:19" x14ac:dyDescent="0.3">
      <c r="A1" s="16" t="s">
        <v>5</v>
      </c>
      <c r="B1" s="16" t="s">
        <v>6</v>
      </c>
      <c r="C1" s="16" t="s">
        <v>7</v>
      </c>
      <c r="D1" s="16" t="s">
        <v>8</v>
      </c>
      <c r="E1" s="16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6" t="s">
        <v>14</v>
      </c>
      <c r="K1" s="16" t="s">
        <v>15</v>
      </c>
      <c r="L1" s="16" t="s">
        <v>16</v>
      </c>
      <c r="M1" s="17" t="s">
        <v>17</v>
      </c>
      <c r="N1" s="17" t="s">
        <v>18</v>
      </c>
      <c r="O1" s="17" t="s">
        <v>19</v>
      </c>
      <c r="P1" s="42" t="s">
        <v>20</v>
      </c>
      <c r="Q1" s="17" t="s">
        <v>21</v>
      </c>
      <c r="R1" s="17" t="s">
        <v>22</v>
      </c>
      <c r="S1" s="17"/>
    </row>
    <row r="2" spans="1:19" x14ac:dyDescent="0.3">
      <c r="A2" s="23" t="s">
        <v>24</v>
      </c>
      <c r="B2" s="23" t="s">
        <v>25</v>
      </c>
      <c r="C2" s="24">
        <v>159</v>
      </c>
      <c r="D2" s="24">
        <v>3.15</v>
      </c>
      <c r="E2" s="24">
        <v>159</v>
      </c>
      <c r="F2" s="24">
        <v>159</v>
      </c>
      <c r="G2" s="24">
        <v>159</v>
      </c>
      <c r="H2" s="24">
        <v>64</v>
      </c>
      <c r="I2" s="24">
        <v>159</v>
      </c>
      <c r="J2" s="25">
        <v>11</v>
      </c>
      <c r="K2" s="25">
        <v>437</v>
      </c>
      <c r="L2" s="25">
        <v>132</v>
      </c>
      <c r="M2" s="18">
        <f>VALUE(RIGHT(B2, 6))</f>
        <v>205</v>
      </c>
      <c r="N2" s="19">
        <f>DATE(VALUE(LEFT(MID(B2,10,6),4)),VALUE(RIGHT(MID(B2,10,6),2)),1)+MOD(5-WEEKDAY(DATE(VALUE(LEFT(MID(B2,10,6),4)),VALUE(RIGHT(MID(B2,10,6),2)),1)),7)+7</f>
        <v>45421</v>
      </c>
      <c r="O2" s="18" t="b">
        <f t="shared" ref="O2:O65" si="0">IF(J2&gt;100, TRUE,FALSE)</f>
        <v>0</v>
      </c>
      <c r="P2" s="43" t="str">
        <f>IF(O2,swap_curve!$B$19,"")</f>
        <v/>
      </c>
      <c r="Q2" t="str">
        <f>IF(O2,H2%,"")</f>
        <v/>
      </c>
      <c r="R2" t="str" cm="1">
        <f t="array" ref="R2">IF(O2,BSCall(swap_curve!$B$20,imvol!M2,imvol!P2,imvol!Q2,YEARFRAC(swap_curve!$C$1,imvol!N2)),"")</f>
        <v/>
      </c>
      <c r="S2" s="20" t="str">
        <f t="shared" ref="S2:S61" si="1">IF(O2,R2-C2,"")</f>
        <v/>
      </c>
    </row>
    <row r="3" spans="1:19" x14ac:dyDescent="0.3">
      <c r="A3" s="23" t="s">
        <v>692</v>
      </c>
      <c r="B3" s="23" t="s">
        <v>693</v>
      </c>
      <c r="C3" s="24" t="s">
        <v>23</v>
      </c>
      <c r="D3" s="24" t="s">
        <v>23</v>
      </c>
      <c r="E3" s="24" t="s">
        <v>23</v>
      </c>
      <c r="F3" s="24" t="s">
        <v>23</v>
      </c>
      <c r="G3" s="24" t="s">
        <v>23</v>
      </c>
      <c r="H3" s="24">
        <v>63.07</v>
      </c>
      <c r="I3" s="24">
        <v>157.19999999999999</v>
      </c>
      <c r="J3" s="25">
        <v>0</v>
      </c>
      <c r="K3" s="25">
        <v>0</v>
      </c>
      <c r="L3" s="25">
        <v>0</v>
      </c>
      <c r="M3" s="18">
        <f t="shared" ref="M3:M66" si="2">VALUE(RIGHT(B3, 6))</f>
        <v>207.5</v>
      </c>
      <c r="N3" s="19">
        <f t="shared" ref="N3:N66" si="3">DATE(VALUE(LEFT(MID(B3,10,6),4)),VALUE(RIGHT(MID(B3,10,6),2)),1)+MOD(5-WEEKDAY(DATE(VALUE(LEFT(MID(B3,10,6),4)),VALUE(RIGHT(MID(B3,10,6),2)),1)),7)+7</f>
        <v>45421</v>
      </c>
      <c r="O3" s="18" t="b">
        <f t="shared" si="0"/>
        <v>0</v>
      </c>
      <c r="P3" s="43" t="str">
        <f>IF(O3,swap_curve!$B$19,"")</f>
        <v/>
      </c>
      <c r="Q3" t="str">
        <f t="shared" ref="Q3:Q61" si="4">IF(O3,H3%,"")</f>
        <v/>
      </c>
      <c r="R3" t="str" cm="1">
        <f t="array" ref="R3">IF(O3,BSCall(swap_curve!$B$20,imvol!M3,imvol!P3,imvol!Q3,YEARFRAC(swap_curve!$C$1,imvol!N3)),"")</f>
        <v/>
      </c>
      <c r="S3" s="20" t="str">
        <f t="shared" si="1"/>
        <v/>
      </c>
    </row>
    <row r="4" spans="1:19" x14ac:dyDescent="0.3">
      <c r="A4" s="23" t="s">
        <v>26</v>
      </c>
      <c r="B4" s="23" t="s">
        <v>27</v>
      </c>
      <c r="C4" s="24" t="s">
        <v>23</v>
      </c>
      <c r="D4" s="24" t="s">
        <v>23</v>
      </c>
      <c r="E4" s="24" t="s">
        <v>23</v>
      </c>
      <c r="F4" s="24" t="s">
        <v>23</v>
      </c>
      <c r="G4" s="24" t="s">
        <v>23</v>
      </c>
      <c r="H4" s="24">
        <v>62.15</v>
      </c>
      <c r="I4" s="24">
        <v>154.69999999999999</v>
      </c>
      <c r="J4" s="25">
        <v>0</v>
      </c>
      <c r="K4" s="25">
        <v>0</v>
      </c>
      <c r="L4" s="25">
        <v>0</v>
      </c>
      <c r="M4" s="18">
        <f t="shared" si="2"/>
        <v>210</v>
      </c>
      <c r="N4" s="19">
        <f t="shared" si="3"/>
        <v>45421</v>
      </c>
      <c r="O4" s="18" t="b">
        <f t="shared" si="0"/>
        <v>0</v>
      </c>
      <c r="P4" s="43" t="str">
        <f>IF(O4,swap_curve!$B$19,"")</f>
        <v/>
      </c>
      <c r="Q4" t="str">
        <f t="shared" si="4"/>
        <v/>
      </c>
      <c r="R4" t="str" cm="1">
        <f t="array" ref="R4">IF(O4,BSCall(swap_curve!$B$20,imvol!M4,imvol!P4,imvol!Q4,YEARFRAC(swap_curve!$C$1,imvol!N4)),"")</f>
        <v/>
      </c>
      <c r="S4" s="20" t="str">
        <f t="shared" si="1"/>
        <v/>
      </c>
    </row>
    <row r="5" spans="1:19" x14ac:dyDescent="0.3">
      <c r="A5" s="23" t="s">
        <v>694</v>
      </c>
      <c r="B5" s="23" t="s">
        <v>695</v>
      </c>
      <c r="C5" s="24" t="s">
        <v>23</v>
      </c>
      <c r="D5" s="24" t="s">
        <v>23</v>
      </c>
      <c r="E5" s="24" t="s">
        <v>23</v>
      </c>
      <c r="F5" s="24" t="s">
        <v>23</v>
      </c>
      <c r="G5" s="24" t="s">
        <v>23</v>
      </c>
      <c r="H5" s="24">
        <v>61.23</v>
      </c>
      <c r="I5" s="24">
        <v>152.19999999999999</v>
      </c>
      <c r="J5" s="25">
        <v>0</v>
      </c>
      <c r="K5" s="25">
        <v>0</v>
      </c>
      <c r="L5" s="25">
        <v>0</v>
      </c>
      <c r="M5" s="18">
        <f t="shared" si="2"/>
        <v>212.5</v>
      </c>
      <c r="N5" s="19">
        <f t="shared" si="3"/>
        <v>45421</v>
      </c>
      <c r="O5" s="18" t="b">
        <f t="shared" si="0"/>
        <v>0</v>
      </c>
      <c r="P5" s="43" t="str">
        <f>IF(O5,swap_curve!$B$19,"")</f>
        <v/>
      </c>
      <c r="Q5" t="str">
        <f t="shared" si="4"/>
        <v/>
      </c>
      <c r="R5" t="str" cm="1">
        <f t="array" ref="R5">IF(O5,BSCall(swap_curve!$B$20,imvol!M5,imvol!P5,imvol!Q5,YEARFRAC(swap_curve!$C$1,imvol!N5)),"")</f>
        <v/>
      </c>
      <c r="S5" s="20" t="str">
        <f t="shared" si="1"/>
        <v/>
      </c>
    </row>
    <row r="6" spans="1:19" x14ac:dyDescent="0.3">
      <c r="A6" s="23" t="s">
        <v>28</v>
      </c>
      <c r="B6" s="23" t="s">
        <v>29</v>
      </c>
      <c r="C6" s="24" t="s">
        <v>23</v>
      </c>
      <c r="D6" s="24" t="s">
        <v>23</v>
      </c>
      <c r="E6" s="24" t="s">
        <v>23</v>
      </c>
      <c r="F6" s="24" t="s">
        <v>23</v>
      </c>
      <c r="G6" s="24" t="s">
        <v>23</v>
      </c>
      <c r="H6" s="24">
        <v>60.3</v>
      </c>
      <c r="I6" s="24">
        <v>149.69999999999999</v>
      </c>
      <c r="J6" s="25">
        <v>0</v>
      </c>
      <c r="K6" s="25">
        <v>0</v>
      </c>
      <c r="L6" s="25">
        <v>0</v>
      </c>
      <c r="M6" s="18">
        <f t="shared" si="2"/>
        <v>215</v>
      </c>
      <c r="N6" s="19">
        <f t="shared" si="3"/>
        <v>45421</v>
      </c>
      <c r="O6" s="18" t="b">
        <f t="shared" si="0"/>
        <v>0</v>
      </c>
      <c r="P6" s="43" t="str">
        <f>IF(O6,swap_curve!$B$19,"")</f>
        <v/>
      </c>
      <c r="Q6" t="str">
        <f t="shared" si="4"/>
        <v/>
      </c>
      <c r="R6" t="str" cm="1">
        <f t="array" ref="R6">IF(O6,BSCall(swap_curve!$B$20,imvol!M6,imvol!P6,imvol!Q6,YEARFRAC(swap_curve!$C$1,imvol!N6)),"")</f>
        <v/>
      </c>
      <c r="S6" s="20" t="str">
        <f t="shared" si="1"/>
        <v/>
      </c>
    </row>
    <row r="7" spans="1:19" x14ac:dyDescent="0.3">
      <c r="A7" s="23" t="s">
        <v>696</v>
      </c>
      <c r="B7" s="23" t="s">
        <v>697</v>
      </c>
      <c r="C7" s="24" t="s">
        <v>23</v>
      </c>
      <c r="D7" s="24" t="s">
        <v>23</v>
      </c>
      <c r="E7" s="24" t="s">
        <v>23</v>
      </c>
      <c r="F7" s="24" t="s">
        <v>23</v>
      </c>
      <c r="G7" s="24" t="s">
        <v>23</v>
      </c>
      <c r="H7" s="24">
        <v>59.38</v>
      </c>
      <c r="I7" s="24">
        <v>147.19999999999999</v>
      </c>
      <c r="J7" s="25">
        <v>0</v>
      </c>
      <c r="K7" s="25">
        <v>0</v>
      </c>
      <c r="L7" s="25">
        <v>0</v>
      </c>
      <c r="M7" s="18">
        <f t="shared" si="2"/>
        <v>217.5</v>
      </c>
      <c r="N7" s="19">
        <f t="shared" si="3"/>
        <v>45421</v>
      </c>
      <c r="O7" s="18" t="b">
        <f t="shared" si="0"/>
        <v>0</v>
      </c>
      <c r="P7" s="43" t="str">
        <f>IF(O7,swap_curve!$B$19,"")</f>
        <v/>
      </c>
      <c r="Q7" t="str">
        <f t="shared" si="4"/>
        <v/>
      </c>
      <c r="R7" t="str" cm="1">
        <f t="array" ref="R7">IF(O7,BSCall(swap_curve!$B$20,imvol!M7,imvol!P7,imvol!Q7,YEARFRAC(swap_curve!$C$1,imvol!N7)),"")</f>
        <v/>
      </c>
      <c r="S7" s="20" t="str">
        <f t="shared" si="1"/>
        <v/>
      </c>
    </row>
    <row r="8" spans="1:19" x14ac:dyDescent="0.3">
      <c r="A8" s="23" t="s">
        <v>30</v>
      </c>
      <c r="B8" s="23" t="s">
        <v>31</v>
      </c>
      <c r="C8" s="24" t="s">
        <v>23</v>
      </c>
      <c r="D8" s="24" t="s">
        <v>23</v>
      </c>
      <c r="E8" s="24" t="s">
        <v>23</v>
      </c>
      <c r="F8" s="24" t="s">
        <v>23</v>
      </c>
      <c r="G8" s="24" t="s">
        <v>23</v>
      </c>
      <c r="H8" s="24">
        <v>58.46</v>
      </c>
      <c r="I8" s="24">
        <v>144.69999999999999</v>
      </c>
      <c r="J8" s="25">
        <v>0</v>
      </c>
      <c r="K8" s="25">
        <v>0</v>
      </c>
      <c r="L8" s="25">
        <v>0</v>
      </c>
      <c r="M8" s="18">
        <f t="shared" si="2"/>
        <v>220</v>
      </c>
      <c r="N8" s="19">
        <f t="shared" si="3"/>
        <v>45421</v>
      </c>
      <c r="O8" s="18" t="b">
        <f t="shared" si="0"/>
        <v>0</v>
      </c>
      <c r="P8" s="43" t="str">
        <f>IF(O8,swap_curve!$B$19,"")</f>
        <v/>
      </c>
      <c r="Q8" t="str">
        <f t="shared" si="4"/>
        <v/>
      </c>
      <c r="R8" t="str" cm="1">
        <f t="array" ref="R8">IF(O8,BSCall(swap_curve!$B$20,imvol!M8,imvol!P8,imvol!Q8,YEARFRAC(swap_curve!$C$1,imvol!N8)),"")</f>
        <v/>
      </c>
      <c r="S8" s="20" t="str">
        <f t="shared" si="1"/>
        <v/>
      </c>
    </row>
    <row r="9" spans="1:19" x14ac:dyDescent="0.3">
      <c r="A9" s="23" t="s">
        <v>698</v>
      </c>
      <c r="B9" s="23" t="s">
        <v>699</v>
      </c>
      <c r="C9" s="24" t="s">
        <v>23</v>
      </c>
      <c r="D9" s="24" t="s">
        <v>23</v>
      </c>
      <c r="E9" s="24" t="s">
        <v>23</v>
      </c>
      <c r="F9" s="24" t="s">
        <v>23</v>
      </c>
      <c r="G9" s="24" t="s">
        <v>23</v>
      </c>
      <c r="H9" s="24">
        <v>57.53</v>
      </c>
      <c r="I9" s="24">
        <v>142.19999999999999</v>
      </c>
      <c r="J9" s="25">
        <v>0</v>
      </c>
      <c r="K9" s="25">
        <v>0</v>
      </c>
      <c r="L9" s="25">
        <v>0</v>
      </c>
      <c r="M9" s="18">
        <f t="shared" si="2"/>
        <v>222.5</v>
      </c>
      <c r="N9" s="19">
        <f t="shared" si="3"/>
        <v>45421</v>
      </c>
      <c r="O9" s="18" t="b">
        <f t="shared" si="0"/>
        <v>0</v>
      </c>
      <c r="P9" s="43" t="str">
        <f>IF(O9,swap_curve!$B$19,"")</f>
        <v/>
      </c>
      <c r="Q9" t="str">
        <f t="shared" si="4"/>
        <v/>
      </c>
      <c r="R9" t="str" cm="1">
        <f t="array" ref="R9">IF(O9,BSCall(swap_curve!$B$20,imvol!M9,imvol!P9,imvol!Q9,YEARFRAC(swap_curve!$C$1,imvol!N9)),"")</f>
        <v/>
      </c>
      <c r="S9" s="20" t="str">
        <f t="shared" si="1"/>
        <v/>
      </c>
    </row>
    <row r="10" spans="1:19" x14ac:dyDescent="0.3">
      <c r="A10" s="23" t="s">
        <v>32</v>
      </c>
      <c r="B10" s="23" t="s">
        <v>33</v>
      </c>
      <c r="C10" s="24" t="s">
        <v>23</v>
      </c>
      <c r="D10" s="24" t="s">
        <v>23</v>
      </c>
      <c r="E10" s="24" t="s">
        <v>23</v>
      </c>
      <c r="F10" s="24" t="s">
        <v>23</v>
      </c>
      <c r="G10" s="24" t="s">
        <v>23</v>
      </c>
      <c r="H10" s="24">
        <v>56.61</v>
      </c>
      <c r="I10" s="24">
        <v>139.69999999999999</v>
      </c>
      <c r="J10" s="25">
        <v>0</v>
      </c>
      <c r="K10" s="25">
        <v>0</v>
      </c>
      <c r="L10" s="25">
        <v>0</v>
      </c>
      <c r="M10" s="18">
        <f t="shared" si="2"/>
        <v>225</v>
      </c>
      <c r="N10" s="19">
        <f t="shared" si="3"/>
        <v>45421</v>
      </c>
      <c r="O10" s="18" t="b">
        <f t="shared" si="0"/>
        <v>0</v>
      </c>
      <c r="P10" s="43" t="str">
        <f>IF(O10,swap_curve!$B$19,"")</f>
        <v/>
      </c>
      <c r="Q10" t="str">
        <f t="shared" si="4"/>
        <v/>
      </c>
      <c r="R10" t="str" cm="1">
        <f t="array" ref="R10">IF(O10,BSCall(swap_curve!$B$20,imvol!M10,imvol!P10,imvol!Q10,YEARFRAC(swap_curve!$C$1,imvol!N10)),"")</f>
        <v/>
      </c>
      <c r="S10" s="20" t="str">
        <f t="shared" si="1"/>
        <v/>
      </c>
    </row>
    <row r="11" spans="1:19" x14ac:dyDescent="0.3">
      <c r="A11" s="23" t="s">
        <v>700</v>
      </c>
      <c r="B11" s="23" t="s">
        <v>701</v>
      </c>
      <c r="C11" s="24" t="s">
        <v>23</v>
      </c>
      <c r="D11" s="24" t="s">
        <v>23</v>
      </c>
      <c r="E11" s="24" t="s">
        <v>23</v>
      </c>
      <c r="F11" s="24" t="s">
        <v>23</v>
      </c>
      <c r="G11" s="24" t="s">
        <v>23</v>
      </c>
      <c r="H11" s="24">
        <v>55.69</v>
      </c>
      <c r="I11" s="24">
        <v>137.19999999999999</v>
      </c>
      <c r="J11" s="25">
        <v>0</v>
      </c>
      <c r="K11" s="25">
        <v>0</v>
      </c>
      <c r="L11" s="25">
        <v>0</v>
      </c>
      <c r="M11" s="18">
        <f t="shared" si="2"/>
        <v>227.5</v>
      </c>
      <c r="N11" s="19">
        <f t="shared" si="3"/>
        <v>45421</v>
      </c>
      <c r="O11" s="18" t="b">
        <f t="shared" si="0"/>
        <v>0</v>
      </c>
      <c r="P11" s="43" t="str">
        <f>IF(O11,swap_curve!$B$19,"")</f>
        <v/>
      </c>
      <c r="Q11" t="str">
        <f t="shared" si="4"/>
        <v/>
      </c>
      <c r="R11" t="str" cm="1">
        <f t="array" ref="R11">IF(O11,BSCall(swap_curve!$B$20,imvol!M11,imvol!P11,imvol!Q11,YEARFRAC(swap_curve!$C$1,imvol!N11)),"")</f>
        <v/>
      </c>
      <c r="S11" s="20" t="str">
        <f t="shared" si="1"/>
        <v/>
      </c>
    </row>
    <row r="12" spans="1:19" x14ac:dyDescent="0.3">
      <c r="A12" s="23" t="s">
        <v>34</v>
      </c>
      <c r="B12" s="23" t="s">
        <v>35</v>
      </c>
      <c r="C12" s="24" t="s">
        <v>23</v>
      </c>
      <c r="D12" s="24" t="s">
        <v>23</v>
      </c>
      <c r="E12" s="24" t="s">
        <v>23</v>
      </c>
      <c r="F12" s="24" t="s">
        <v>23</v>
      </c>
      <c r="G12" s="24" t="s">
        <v>23</v>
      </c>
      <c r="H12" s="24">
        <v>54.76</v>
      </c>
      <c r="I12" s="24">
        <v>134.69999999999999</v>
      </c>
      <c r="J12" s="25">
        <v>0</v>
      </c>
      <c r="K12" s="25">
        <v>0</v>
      </c>
      <c r="L12" s="25">
        <v>0</v>
      </c>
      <c r="M12" s="18">
        <f t="shared" si="2"/>
        <v>230</v>
      </c>
      <c r="N12" s="19">
        <f t="shared" si="3"/>
        <v>45421</v>
      </c>
      <c r="O12" s="18" t="b">
        <f t="shared" si="0"/>
        <v>0</v>
      </c>
      <c r="P12" s="43" t="str">
        <f>IF(O12,swap_curve!$B$19,"")</f>
        <v/>
      </c>
      <c r="Q12" t="str">
        <f t="shared" si="4"/>
        <v/>
      </c>
      <c r="R12" t="str" cm="1">
        <f t="array" ref="R12">IF(O12,BSCall(swap_curve!$B$20,imvol!M12,imvol!P12,imvol!Q12,YEARFRAC(swap_curve!$C$1,imvol!N12)),"")</f>
        <v/>
      </c>
      <c r="S12" s="20" t="str">
        <f t="shared" si="1"/>
        <v/>
      </c>
    </row>
    <row r="13" spans="1:19" x14ac:dyDescent="0.3">
      <c r="A13" s="23" t="s">
        <v>702</v>
      </c>
      <c r="B13" s="23" t="s">
        <v>703</v>
      </c>
      <c r="C13" s="24" t="s">
        <v>23</v>
      </c>
      <c r="D13" s="24" t="s">
        <v>23</v>
      </c>
      <c r="E13" s="24" t="s">
        <v>23</v>
      </c>
      <c r="F13" s="24" t="s">
        <v>23</v>
      </c>
      <c r="G13" s="24" t="s">
        <v>23</v>
      </c>
      <c r="H13" s="24">
        <v>53.84</v>
      </c>
      <c r="I13" s="24">
        <v>132.19999999999999</v>
      </c>
      <c r="J13" s="25">
        <v>0</v>
      </c>
      <c r="K13" s="25">
        <v>0</v>
      </c>
      <c r="L13" s="25">
        <v>15</v>
      </c>
      <c r="M13" s="18">
        <f t="shared" si="2"/>
        <v>232.5</v>
      </c>
      <c r="N13" s="19">
        <f t="shared" si="3"/>
        <v>45421</v>
      </c>
      <c r="O13" s="18" t="b">
        <f t="shared" si="0"/>
        <v>0</v>
      </c>
      <c r="P13" s="43" t="str">
        <f>IF(O13,swap_curve!$B$19,"")</f>
        <v/>
      </c>
      <c r="Q13" t="str">
        <f t="shared" si="4"/>
        <v/>
      </c>
      <c r="R13" t="str" cm="1">
        <f t="array" ref="R13">IF(O13,BSCall(swap_curve!$B$20,imvol!M13,imvol!P13,imvol!Q13,YEARFRAC(swap_curve!$C$1,imvol!N13)),"")</f>
        <v/>
      </c>
      <c r="S13" s="20" t="str">
        <f t="shared" si="1"/>
        <v/>
      </c>
    </row>
    <row r="14" spans="1:19" x14ac:dyDescent="0.3">
      <c r="A14" s="23" t="s">
        <v>36</v>
      </c>
      <c r="B14" s="23" t="s">
        <v>37</v>
      </c>
      <c r="C14" s="24" t="s">
        <v>23</v>
      </c>
      <c r="D14" s="24" t="s">
        <v>23</v>
      </c>
      <c r="E14" s="24" t="s">
        <v>23</v>
      </c>
      <c r="F14" s="24" t="s">
        <v>23</v>
      </c>
      <c r="G14" s="24" t="s">
        <v>23</v>
      </c>
      <c r="H14" s="24">
        <v>52.92</v>
      </c>
      <c r="I14" s="24">
        <v>129.69999999999999</v>
      </c>
      <c r="J14" s="25">
        <v>0</v>
      </c>
      <c r="K14" s="25">
        <v>0</v>
      </c>
      <c r="L14" s="25">
        <v>0</v>
      </c>
      <c r="M14" s="18">
        <f t="shared" si="2"/>
        <v>235</v>
      </c>
      <c r="N14" s="19">
        <f t="shared" si="3"/>
        <v>45421</v>
      </c>
      <c r="O14" s="18" t="b">
        <f t="shared" si="0"/>
        <v>0</v>
      </c>
      <c r="P14" s="43" t="str">
        <f>IF(O14,swap_curve!$B$19,"")</f>
        <v/>
      </c>
      <c r="Q14" t="str">
        <f t="shared" si="4"/>
        <v/>
      </c>
      <c r="R14" t="str" cm="1">
        <f t="array" ref="R14">IF(O14,BSCall(swap_curve!$B$20,imvol!M14,imvol!P14,imvol!Q14,YEARFRAC(swap_curve!$C$1,imvol!N14)),"")</f>
        <v/>
      </c>
      <c r="S14" s="20" t="str">
        <f t="shared" si="1"/>
        <v/>
      </c>
    </row>
    <row r="15" spans="1:19" x14ac:dyDescent="0.3">
      <c r="A15" s="23" t="s">
        <v>704</v>
      </c>
      <c r="B15" s="23" t="s">
        <v>705</v>
      </c>
      <c r="C15" s="24" t="s">
        <v>23</v>
      </c>
      <c r="D15" s="24" t="s">
        <v>23</v>
      </c>
      <c r="E15" s="24" t="s">
        <v>23</v>
      </c>
      <c r="F15" s="24" t="s">
        <v>23</v>
      </c>
      <c r="G15" s="24" t="s">
        <v>23</v>
      </c>
      <c r="H15" s="24">
        <v>52</v>
      </c>
      <c r="I15" s="24">
        <v>127.2</v>
      </c>
      <c r="J15" s="25">
        <v>0</v>
      </c>
      <c r="K15" s="25">
        <v>0</v>
      </c>
      <c r="L15" s="25">
        <v>0</v>
      </c>
      <c r="M15" s="18">
        <f t="shared" si="2"/>
        <v>237.5</v>
      </c>
      <c r="N15" s="19">
        <f t="shared" si="3"/>
        <v>45421</v>
      </c>
      <c r="O15" s="18" t="b">
        <f t="shared" si="0"/>
        <v>0</v>
      </c>
      <c r="P15" s="43" t="str">
        <f>IF(O15,swap_curve!$B$19,"")</f>
        <v/>
      </c>
      <c r="Q15" t="str">
        <f t="shared" si="4"/>
        <v/>
      </c>
      <c r="R15" t="str" cm="1">
        <f t="array" ref="R15">IF(O15,BSCall(swap_curve!$B$20,imvol!M15,imvol!P15,imvol!Q15,YEARFRAC(swap_curve!$C$1,imvol!N15)),"")</f>
        <v/>
      </c>
      <c r="S15" s="20" t="str">
        <f t="shared" si="1"/>
        <v/>
      </c>
    </row>
    <row r="16" spans="1:19" x14ac:dyDescent="0.3">
      <c r="A16" s="23" t="s">
        <v>38</v>
      </c>
      <c r="B16" s="23" t="s">
        <v>39</v>
      </c>
      <c r="C16" s="24" t="s">
        <v>23</v>
      </c>
      <c r="D16" s="24" t="s">
        <v>23</v>
      </c>
      <c r="E16" s="24" t="s">
        <v>23</v>
      </c>
      <c r="F16" s="24" t="s">
        <v>23</v>
      </c>
      <c r="G16" s="24" t="s">
        <v>23</v>
      </c>
      <c r="H16" s="24">
        <v>51.07</v>
      </c>
      <c r="I16" s="24">
        <v>124.7</v>
      </c>
      <c r="J16" s="25">
        <v>0</v>
      </c>
      <c r="K16" s="25">
        <v>0</v>
      </c>
      <c r="L16" s="25">
        <v>0</v>
      </c>
      <c r="M16" s="18">
        <f t="shared" si="2"/>
        <v>240</v>
      </c>
      <c r="N16" s="19">
        <f t="shared" si="3"/>
        <v>45421</v>
      </c>
      <c r="O16" s="18" t="b">
        <f t="shared" si="0"/>
        <v>0</v>
      </c>
      <c r="P16" s="43" t="str">
        <f>IF(O16,swap_curve!$B$19,"")</f>
        <v/>
      </c>
      <c r="Q16" t="str">
        <f t="shared" si="4"/>
        <v/>
      </c>
      <c r="R16" t="str" cm="1">
        <f t="array" ref="R16">IF(O16,BSCall(swap_curve!$B$20,imvol!M16,imvol!P16,imvol!Q16,YEARFRAC(swap_curve!$C$1,imvol!N16)),"")</f>
        <v/>
      </c>
      <c r="S16" s="20" t="str">
        <f t="shared" si="1"/>
        <v/>
      </c>
    </row>
    <row r="17" spans="1:19" x14ac:dyDescent="0.3">
      <c r="A17" s="23" t="s">
        <v>706</v>
      </c>
      <c r="B17" s="23" t="s">
        <v>707</v>
      </c>
      <c r="C17" s="24" t="s">
        <v>23</v>
      </c>
      <c r="D17" s="24" t="s">
        <v>23</v>
      </c>
      <c r="E17" s="24" t="s">
        <v>23</v>
      </c>
      <c r="F17" s="24" t="s">
        <v>23</v>
      </c>
      <c r="G17" s="24" t="s">
        <v>23</v>
      </c>
      <c r="H17" s="24">
        <v>50.15</v>
      </c>
      <c r="I17" s="24">
        <v>122.2</v>
      </c>
      <c r="J17" s="25">
        <v>0</v>
      </c>
      <c r="K17" s="25">
        <v>0</v>
      </c>
      <c r="L17" s="25">
        <v>0</v>
      </c>
      <c r="M17" s="18">
        <f t="shared" si="2"/>
        <v>242.5</v>
      </c>
      <c r="N17" s="19">
        <f t="shared" si="3"/>
        <v>45421</v>
      </c>
      <c r="O17" s="18" t="b">
        <f t="shared" si="0"/>
        <v>0</v>
      </c>
      <c r="P17" s="43" t="str">
        <f>IF(O17,swap_curve!$B$19,"")</f>
        <v/>
      </c>
      <c r="Q17" t="str">
        <f t="shared" si="4"/>
        <v/>
      </c>
      <c r="R17" t="str" cm="1">
        <f t="array" ref="R17">IF(O17,BSCall(swap_curve!$B$20,imvol!M17,imvol!P17,imvol!Q17,YEARFRAC(swap_curve!$C$1,imvol!N17)),"")</f>
        <v/>
      </c>
      <c r="S17" s="20" t="str">
        <f t="shared" si="1"/>
        <v/>
      </c>
    </row>
    <row r="18" spans="1:19" x14ac:dyDescent="0.3">
      <c r="A18" s="23" t="s">
        <v>40</v>
      </c>
      <c r="B18" s="23" t="s">
        <v>41</v>
      </c>
      <c r="C18" s="24" t="s">
        <v>23</v>
      </c>
      <c r="D18" s="24" t="s">
        <v>23</v>
      </c>
      <c r="E18" s="24" t="s">
        <v>23</v>
      </c>
      <c r="F18" s="24" t="s">
        <v>23</v>
      </c>
      <c r="G18" s="24" t="s">
        <v>23</v>
      </c>
      <c r="H18" s="24">
        <v>49.23</v>
      </c>
      <c r="I18" s="24">
        <v>119.7</v>
      </c>
      <c r="J18" s="25">
        <v>0</v>
      </c>
      <c r="K18" s="25">
        <v>0</v>
      </c>
      <c r="L18" s="25">
        <v>0</v>
      </c>
      <c r="M18" s="18">
        <f t="shared" si="2"/>
        <v>245</v>
      </c>
      <c r="N18" s="19">
        <f t="shared" si="3"/>
        <v>45421</v>
      </c>
      <c r="O18" s="18" t="b">
        <f t="shared" si="0"/>
        <v>0</v>
      </c>
      <c r="P18" s="43" t="str">
        <f>IF(O18,swap_curve!$B$19,"")</f>
        <v/>
      </c>
      <c r="Q18" t="str">
        <f t="shared" si="4"/>
        <v/>
      </c>
      <c r="R18" t="str" cm="1">
        <f t="array" ref="R18">IF(O18,BSCall(swap_curve!$B$20,imvol!M18,imvol!P18,imvol!Q18,YEARFRAC(swap_curve!$C$1,imvol!N18)),"")</f>
        <v/>
      </c>
      <c r="S18" s="20" t="str">
        <f t="shared" si="1"/>
        <v/>
      </c>
    </row>
    <row r="19" spans="1:19" x14ac:dyDescent="0.3">
      <c r="A19" s="23" t="s">
        <v>708</v>
      </c>
      <c r="B19" s="23" t="s">
        <v>709</v>
      </c>
      <c r="C19" s="24" t="s">
        <v>23</v>
      </c>
      <c r="D19" s="24" t="s">
        <v>23</v>
      </c>
      <c r="E19" s="24" t="s">
        <v>23</v>
      </c>
      <c r="F19" s="24" t="s">
        <v>23</v>
      </c>
      <c r="G19" s="24" t="s">
        <v>23</v>
      </c>
      <c r="H19" s="24">
        <v>48.3</v>
      </c>
      <c r="I19" s="24">
        <v>117.2</v>
      </c>
      <c r="J19" s="25">
        <v>0</v>
      </c>
      <c r="K19" s="25">
        <v>0</v>
      </c>
      <c r="L19" s="25">
        <v>0</v>
      </c>
      <c r="M19" s="18">
        <f t="shared" si="2"/>
        <v>247.5</v>
      </c>
      <c r="N19" s="19">
        <f t="shared" si="3"/>
        <v>45421</v>
      </c>
      <c r="O19" s="18" t="b">
        <f t="shared" si="0"/>
        <v>0</v>
      </c>
      <c r="P19" s="43" t="str">
        <f>IF(O19,swap_curve!$B$19,"")</f>
        <v/>
      </c>
      <c r="Q19" t="str">
        <f t="shared" si="4"/>
        <v/>
      </c>
      <c r="R19" t="str" cm="1">
        <f t="array" ref="R19">IF(O19,BSCall(swap_curve!$B$20,imvol!M19,imvol!P19,imvol!Q19,YEARFRAC(swap_curve!$C$1,imvol!N19)),"")</f>
        <v/>
      </c>
      <c r="S19" s="20" t="str">
        <f t="shared" si="1"/>
        <v/>
      </c>
    </row>
    <row r="20" spans="1:19" x14ac:dyDescent="0.3">
      <c r="A20" s="23" t="s">
        <v>42</v>
      </c>
      <c r="B20" s="23" t="s">
        <v>43</v>
      </c>
      <c r="C20" s="24" t="s">
        <v>23</v>
      </c>
      <c r="D20" s="24" t="s">
        <v>23</v>
      </c>
      <c r="E20" s="24" t="s">
        <v>23</v>
      </c>
      <c r="F20" s="24" t="s">
        <v>23</v>
      </c>
      <c r="G20" s="24" t="s">
        <v>23</v>
      </c>
      <c r="H20" s="24">
        <v>47.38</v>
      </c>
      <c r="I20" s="24">
        <v>114.7</v>
      </c>
      <c r="J20" s="25">
        <v>0</v>
      </c>
      <c r="K20" s="25">
        <v>0</v>
      </c>
      <c r="L20" s="25">
        <v>0</v>
      </c>
      <c r="M20" s="18">
        <f t="shared" si="2"/>
        <v>250</v>
      </c>
      <c r="N20" s="19">
        <f t="shared" si="3"/>
        <v>45421</v>
      </c>
      <c r="O20" s="18" t="b">
        <f t="shared" si="0"/>
        <v>0</v>
      </c>
      <c r="P20" s="43" t="str">
        <f>IF(O20,swap_curve!$B$19,"")</f>
        <v/>
      </c>
      <c r="Q20" t="str">
        <f t="shared" si="4"/>
        <v/>
      </c>
      <c r="R20" t="str" cm="1">
        <f t="array" ref="R20">IF(O20,BSCall(swap_curve!$B$20,imvol!M20,imvol!P20,imvol!Q20,YEARFRAC(swap_curve!$C$1,imvol!N20)),"")</f>
        <v/>
      </c>
      <c r="S20" s="20" t="str">
        <f t="shared" si="1"/>
        <v/>
      </c>
    </row>
    <row r="21" spans="1:19" x14ac:dyDescent="0.3">
      <c r="A21" s="23" t="s">
        <v>710</v>
      </c>
      <c r="B21" s="23" t="s">
        <v>711</v>
      </c>
      <c r="C21" s="24" t="s">
        <v>23</v>
      </c>
      <c r="D21" s="24" t="s">
        <v>23</v>
      </c>
      <c r="E21" s="24" t="s">
        <v>23</v>
      </c>
      <c r="F21" s="24" t="s">
        <v>23</v>
      </c>
      <c r="G21" s="24" t="s">
        <v>23</v>
      </c>
      <c r="H21" s="24">
        <v>46.46</v>
      </c>
      <c r="I21" s="24">
        <v>112.25</v>
      </c>
      <c r="J21" s="25">
        <v>0</v>
      </c>
      <c r="K21" s="25">
        <v>0</v>
      </c>
      <c r="L21" s="25">
        <v>0</v>
      </c>
      <c r="M21" s="18">
        <f t="shared" si="2"/>
        <v>252.5</v>
      </c>
      <c r="N21" s="19">
        <f t="shared" si="3"/>
        <v>45421</v>
      </c>
      <c r="O21" s="18" t="b">
        <f t="shared" si="0"/>
        <v>0</v>
      </c>
      <c r="P21" s="43" t="str">
        <f>IF(O21,swap_curve!$B$19,"")</f>
        <v/>
      </c>
      <c r="Q21" t="str">
        <f t="shared" si="4"/>
        <v/>
      </c>
      <c r="R21" t="str" cm="1">
        <f t="array" ref="R21">IF(O21,BSCall(swap_curve!$B$20,imvol!M21,imvol!P21,imvol!Q21,YEARFRAC(swap_curve!$C$1,imvol!N21)),"")</f>
        <v/>
      </c>
      <c r="S21" s="20" t="str">
        <f t="shared" si="1"/>
        <v/>
      </c>
    </row>
    <row r="22" spans="1:19" x14ac:dyDescent="0.3">
      <c r="A22" s="23" t="s">
        <v>44</v>
      </c>
      <c r="B22" s="23" t="s">
        <v>45</v>
      </c>
      <c r="C22" s="24" t="s">
        <v>23</v>
      </c>
      <c r="D22" s="24" t="s">
        <v>23</v>
      </c>
      <c r="E22" s="24" t="s">
        <v>23</v>
      </c>
      <c r="F22" s="24" t="s">
        <v>23</v>
      </c>
      <c r="G22" s="24" t="s">
        <v>23</v>
      </c>
      <c r="H22" s="24">
        <v>45.53</v>
      </c>
      <c r="I22" s="24">
        <v>109.75</v>
      </c>
      <c r="J22" s="25">
        <v>0</v>
      </c>
      <c r="K22" s="25">
        <v>0</v>
      </c>
      <c r="L22" s="25">
        <v>26</v>
      </c>
      <c r="M22" s="18">
        <f t="shared" si="2"/>
        <v>255</v>
      </c>
      <c r="N22" s="19">
        <f t="shared" si="3"/>
        <v>45421</v>
      </c>
      <c r="O22" s="18" t="b">
        <f t="shared" si="0"/>
        <v>0</v>
      </c>
      <c r="P22" s="43" t="str">
        <f>IF(O22,swap_curve!$B$19,"")</f>
        <v/>
      </c>
      <c r="Q22" t="str">
        <f t="shared" si="4"/>
        <v/>
      </c>
      <c r="R22" t="str" cm="1">
        <f t="array" ref="R22">IF(O22,BSCall(swap_curve!$B$20,imvol!M22,imvol!P22,imvol!Q22,YEARFRAC(swap_curve!$C$1,imvol!N22)),"")</f>
        <v/>
      </c>
      <c r="S22" s="20" t="str">
        <f t="shared" si="1"/>
        <v/>
      </c>
    </row>
    <row r="23" spans="1:19" x14ac:dyDescent="0.3">
      <c r="A23" s="23" t="s">
        <v>712</v>
      </c>
      <c r="B23" s="23" t="s">
        <v>713</v>
      </c>
      <c r="C23" s="24" t="s">
        <v>23</v>
      </c>
      <c r="D23" s="24" t="s">
        <v>23</v>
      </c>
      <c r="E23" s="24" t="s">
        <v>23</v>
      </c>
      <c r="F23" s="24" t="s">
        <v>23</v>
      </c>
      <c r="G23" s="24" t="s">
        <v>23</v>
      </c>
      <c r="H23" s="24">
        <v>44.61</v>
      </c>
      <c r="I23" s="24">
        <v>107.25</v>
      </c>
      <c r="J23" s="25">
        <v>0</v>
      </c>
      <c r="K23" s="25">
        <v>0</v>
      </c>
      <c r="L23" s="25">
        <v>0</v>
      </c>
      <c r="M23" s="18">
        <f t="shared" si="2"/>
        <v>257.5</v>
      </c>
      <c r="N23" s="19">
        <f t="shared" si="3"/>
        <v>45421</v>
      </c>
      <c r="O23" s="18" t="b">
        <f t="shared" si="0"/>
        <v>0</v>
      </c>
      <c r="P23" s="43" t="str">
        <f>IF(O23,swap_curve!$B$19,"")</f>
        <v/>
      </c>
      <c r="Q23" t="str">
        <f t="shared" si="4"/>
        <v/>
      </c>
      <c r="R23" t="str" cm="1">
        <f t="array" ref="R23">IF(O23,BSCall(swap_curve!$B$20,imvol!M23,imvol!P23,imvol!Q23,YEARFRAC(swap_curve!$C$1,imvol!N23)),"")</f>
        <v/>
      </c>
      <c r="S23" s="20" t="str">
        <f t="shared" si="1"/>
        <v/>
      </c>
    </row>
    <row r="24" spans="1:19" x14ac:dyDescent="0.3">
      <c r="A24" s="23" t="s">
        <v>46</v>
      </c>
      <c r="B24" s="23" t="s">
        <v>47</v>
      </c>
      <c r="C24" s="24" t="s">
        <v>23</v>
      </c>
      <c r="D24" s="24" t="s">
        <v>23</v>
      </c>
      <c r="E24" s="24" t="s">
        <v>23</v>
      </c>
      <c r="F24" s="24" t="s">
        <v>23</v>
      </c>
      <c r="G24" s="24" t="s">
        <v>23</v>
      </c>
      <c r="H24" s="24">
        <v>43.69</v>
      </c>
      <c r="I24" s="24">
        <v>104.75</v>
      </c>
      <c r="J24" s="25">
        <v>0</v>
      </c>
      <c r="K24" s="25">
        <v>0</v>
      </c>
      <c r="L24" s="25">
        <v>0</v>
      </c>
      <c r="M24" s="18">
        <f t="shared" si="2"/>
        <v>260</v>
      </c>
      <c r="N24" s="19">
        <f t="shared" si="3"/>
        <v>45421</v>
      </c>
      <c r="O24" s="18" t="b">
        <f t="shared" si="0"/>
        <v>0</v>
      </c>
      <c r="P24" s="43" t="str">
        <f>IF(O24,swap_curve!$B$19,"")</f>
        <v/>
      </c>
      <c r="Q24" t="str">
        <f t="shared" si="4"/>
        <v/>
      </c>
      <c r="R24" t="str" cm="1">
        <f t="array" ref="R24">IF(O24,BSCall(swap_curve!$B$20,imvol!M24,imvol!P24,imvol!Q24,YEARFRAC(swap_curve!$C$1,imvol!N24)),"")</f>
        <v/>
      </c>
      <c r="S24" s="20" t="str">
        <f t="shared" si="1"/>
        <v/>
      </c>
    </row>
    <row r="25" spans="1:19" x14ac:dyDescent="0.3">
      <c r="A25" s="23" t="s">
        <v>714</v>
      </c>
      <c r="B25" s="23" t="s">
        <v>715</v>
      </c>
      <c r="C25" s="24" t="s">
        <v>23</v>
      </c>
      <c r="D25" s="24" t="s">
        <v>23</v>
      </c>
      <c r="E25" s="24" t="s">
        <v>23</v>
      </c>
      <c r="F25" s="24" t="s">
        <v>23</v>
      </c>
      <c r="G25" s="24" t="s">
        <v>23</v>
      </c>
      <c r="H25" s="24">
        <v>42.76</v>
      </c>
      <c r="I25" s="24">
        <v>102.25</v>
      </c>
      <c r="J25" s="25">
        <v>0</v>
      </c>
      <c r="K25" s="25">
        <v>0</v>
      </c>
      <c r="L25" s="25">
        <v>0</v>
      </c>
      <c r="M25" s="18">
        <f t="shared" si="2"/>
        <v>262.5</v>
      </c>
      <c r="N25" s="19">
        <f t="shared" si="3"/>
        <v>45421</v>
      </c>
      <c r="O25" s="18" t="b">
        <f t="shared" si="0"/>
        <v>0</v>
      </c>
      <c r="P25" s="43" t="str">
        <f>IF(O25,swap_curve!$B$19,"")</f>
        <v/>
      </c>
      <c r="Q25" t="str">
        <f t="shared" si="4"/>
        <v/>
      </c>
      <c r="R25" t="str" cm="1">
        <f t="array" ref="R25">IF(O25,BSCall(swap_curve!$B$20,imvol!M25,imvol!P25,imvol!Q25,YEARFRAC(swap_curve!$C$1,imvol!N25)),"")</f>
        <v/>
      </c>
      <c r="S25" s="20" t="str">
        <f t="shared" si="1"/>
        <v/>
      </c>
    </row>
    <row r="26" spans="1:19" x14ac:dyDescent="0.3">
      <c r="A26" s="23" t="s">
        <v>48</v>
      </c>
      <c r="B26" s="23" t="s">
        <v>49</v>
      </c>
      <c r="C26" s="24" t="s">
        <v>23</v>
      </c>
      <c r="D26" s="24" t="s">
        <v>23</v>
      </c>
      <c r="E26" s="24" t="s">
        <v>23</v>
      </c>
      <c r="F26" s="24" t="s">
        <v>23</v>
      </c>
      <c r="G26" s="24" t="s">
        <v>23</v>
      </c>
      <c r="H26" s="24">
        <v>41.84</v>
      </c>
      <c r="I26" s="24">
        <v>99.75</v>
      </c>
      <c r="J26" s="25">
        <v>0</v>
      </c>
      <c r="K26" s="25">
        <v>0</v>
      </c>
      <c r="L26" s="25">
        <v>0</v>
      </c>
      <c r="M26" s="18">
        <f t="shared" si="2"/>
        <v>265</v>
      </c>
      <c r="N26" s="19">
        <f t="shared" si="3"/>
        <v>45421</v>
      </c>
      <c r="O26" s="18" t="b">
        <f t="shared" si="0"/>
        <v>0</v>
      </c>
      <c r="P26" s="43" t="str">
        <f>IF(O26,swap_curve!$B$19,"")</f>
        <v/>
      </c>
      <c r="Q26" t="str">
        <f t="shared" si="4"/>
        <v/>
      </c>
      <c r="R26" t="str" cm="1">
        <f t="array" ref="R26">IF(O26,BSCall(swap_curve!$B$20,imvol!M26,imvol!P26,imvol!Q26,YEARFRAC(swap_curve!$C$1,imvol!N26)),"")</f>
        <v/>
      </c>
      <c r="S26" s="20" t="str">
        <f t="shared" si="1"/>
        <v/>
      </c>
    </row>
    <row r="27" spans="1:19" x14ac:dyDescent="0.3">
      <c r="A27" s="23" t="s">
        <v>716</v>
      </c>
      <c r="B27" s="23" t="s">
        <v>717</v>
      </c>
      <c r="C27" s="24" t="s">
        <v>23</v>
      </c>
      <c r="D27" s="24" t="s">
        <v>23</v>
      </c>
      <c r="E27" s="24" t="s">
        <v>23</v>
      </c>
      <c r="F27" s="24" t="s">
        <v>23</v>
      </c>
      <c r="G27" s="24" t="s">
        <v>23</v>
      </c>
      <c r="H27" s="24">
        <v>40.92</v>
      </c>
      <c r="I27" s="24">
        <v>97.25</v>
      </c>
      <c r="J27" s="25">
        <v>0</v>
      </c>
      <c r="K27" s="25">
        <v>0</v>
      </c>
      <c r="L27" s="25">
        <v>0</v>
      </c>
      <c r="M27" s="18">
        <f t="shared" si="2"/>
        <v>267.5</v>
      </c>
      <c r="N27" s="19">
        <f t="shared" si="3"/>
        <v>45421</v>
      </c>
      <c r="O27" s="18" t="b">
        <f t="shared" si="0"/>
        <v>0</v>
      </c>
      <c r="P27" s="43" t="str">
        <f>IF(O27,swap_curve!$B$19,"")</f>
        <v/>
      </c>
      <c r="Q27" t="str">
        <f t="shared" si="4"/>
        <v/>
      </c>
      <c r="R27" t="str" cm="1">
        <f t="array" ref="R27">IF(O27,BSCall(swap_curve!$B$20,imvol!M27,imvol!P27,imvol!Q27,YEARFRAC(swap_curve!$C$1,imvol!N27)),"")</f>
        <v/>
      </c>
      <c r="S27" s="20" t="str">
        <f t="shared" si="1"/>
        <v/>
      </c>
    </row>
    <row r="28" spans="1:19" x14ac:dyDescent="0.3">
      <c r="A28" s="23" t="s">
        <v>50</v>
      </c>
      <c r="B28" s="23" t="s">
        <v>51</v>
      </c>
      <c r="C28" s="24" t="s">
        <v>23</v>
      </c>
      <c r="D28" s="24" t="s">
        <v>23</v>
      </c>
      <c r="E28" s="24" t="s">
        <v>23</v>
      </c>
      <c r="F28" s="24" t="s">
        <v>23</v>
      </c>
      <c r="G28" s="24" t="s">
        <v>23</v>
      </c>
      <c r="H28" s="24">
        <v>40</v>
      </c>
      <c r="I28" s="24">
        <v>94.75</v>
      </c>
      <c r="J28" s="25">
        <v>0</v>
      </c>
      <c r="K28" s="25">
        <v>0</v>
      </c>
      <c r="L28" s="25">
        <v>0</v>
      </c>
      <c r="M28" s="18">
        <f t="shared" si="2"/>
        <v>270</v>
      </c>
      <c r="N28" s="19">
        <f t="shared" si="3"/>
        <v>45421</v>
      </c>
      <c r="O28" s="18" t="b">
        <f t="shared" si="0"/>
        <v>0</v>
      </c>
      <c r="P28" s="43" t="str">
        <f>IF(O28,swap_curve!$B$19,"")</f>
        <v/>
      </c>
      <c r="Q28" t="str">
        <f t="shared" si="4"/>
        <v/>
      </c>
      <c r="R28" t="str" cm="1">
        <f t="array" ref="R28">IF(O28,BSCall(swap_curve!$B$20,imvol!M28,imvol!P28,imvol!Q28,YEARFRAC(swap_curve!$C$1,imvol!N28)),"")</f>
        <v/>
      </c>
      <c r="S28" s="20" t="str">
        <f t="shared" si="1"/>
        <v/>
      </c>
    </row>
    <row r="29" spans="1:19" x14ac:dyDescent="0.3">
      <c r="A29" s="23" t="s">
        <v>718</v>
      </c>
      <c r="B29" s="23" t="s">
        <v>719</v>
      </c>
      <c r="C29" s="24" t="s">
        <v>23</v>
      </c>
      <c r="D29" s="24" t="s">
        <v>23</v>
      </c>
      <c r="E29" s="24" t="s">
        <v>23</v>
      </c>
      <c r="F29" s="24" t="s">
        <v>23</v>
      </c>
      <c r="G29" s="24" t="s">
        <v>23</v>
      </c>
      <c r="H29" s="24">
        <v>39.07</v>
      </c>
      <c r="I29" s="24">
        <v>92.25</v>
      </c>
      <c r="J29" s="25">
        <v>0</v>
      </c>
      <c r="K29" s="25">
        <v>0</v>
      </c>
      <c r="L29" s="25">
        <v>0</v>
      </c>
      <c r="M29" s="18">
        <f t="shared" si="2"/>
        <v>272.5</v>
      </c>
      <c r="N29" s="19">
        <f t="shared" si="3"/>
        <v>45421</v>
      </c>
      <c r="O29" s="18" t="b">
        <f t="shared" si="0"/>
        <v>0</v>
      </c>
      <c r="P29" s="43" t="str">
        <f>IF(O29,swap_curve!$B$19,"")</f>
        <v/>
      </c>
      <c r="Q29" t="str">
        <f t="shared" si="4"/>
        <v/>
      </c>
      <c r="R29" t="str" cm="1">
        <f t="array" ref="R29">IF(O29,BSCall(swap_curve!$B$20,imvol!M29,imvol!P29,imvol!Q29,YEARFRAC(swap_curve!$C$1,imvol!N29)),"")</f>
        <v/>
      </c>
      <c r="S29" s="20" t="str">
        <f t="shared" si="1"/>
        <v/>
      </c>
    </row>
    <row r="30" spans="1:19" x14ac:dyDescent="0.3">
      <c r="A30" s="23" t="s">
        <v>52</v>
      </c>
      <c r="B30" s="23" t="s">
        <v>53</v>
      </c>
      <c r="C30" s="24" t="s">
        <v>23</v>
      </c>
      <c r="D30" s="24" t="s">
        <v>23</v>
      </c>
      <c r="E30" s="24" t="s">
        <v>23</v>
      </c>
      <c r="F30" s="24" t="s">
        <v>23</v>
      </c>
      <c r="G30" s="24" t="s">
        <v>23</v>
      </c>
      <c r="H30" s="24">
        <v>38.15</v>
      </c>
      <c r="I30" s="24">
        <v>89.75</v>
      </c>
      <c r="J30" s="25">
        <v>0</v>
      </c>
      <c r="K30" s="25">
        <v>0</v>
      </c>
      <c r="L30" s="25">
        <v>77</v>
      </c>
      <c r="M30" s="18">
        <f t="shared" si="2"/>
        <v>275</v>
      </c>
      <c r="N30" s="19">
        <f t="shared" si="3"/>
        <v>45421</v>
      </c>
      <c r="O30" s="18" t="b">
        <f t="shared" si="0"/>
        <v>0</v>
      </c>
      <c r="P30" s="43" t="str">
        <f>IF(O30,swap_curve!$B$19,"")</f>
        <v/>
      </c>
      <c r="Q30" t="str">
        <f t="shared" si="4"/>
        <v/>
      </c>
      <c r="R30" t="str" cm="1">
        <f t="array" ref="R30">IF(O30,BSCall(swap_curve!$B$20,imvol!M30,imvol!P30,imvol!Q30,YEARFRAC(swap_curve!$C$1,imvol!N30)),"")</f>
        <v/>
      </c>
      <c r="S30" s="20" t="str">
        <f t="shared" si="1"/>
        <v/>
      </c>
    </row>
    <row r="31" spans="1:19" x14ac:dyDescent="0.3">
      <c r="A31" s="23" t="s">
        <v>720</v>
      </c>
      <c r="B31" s="23" t="s">
        <v>721</v>
      </c>
      <c r="C31" s="24" t="s">
        <v>23</v>
      </c>
      <c r="D31" s="24" t="s">
        <v>23</v>
      </c>
      <c r="E31" s="24" t="s">
        <v>23</v>
      </c>
      <c r="F31" s="24" t="s">
        <v>23</v>
      </c>
      <c r="G31" s="24" t="s">
        <v>23</v>
      </c>
      <c r="H31" s="24">
        <v>37.229999999999997</v>
      </c>
      <c r="I31" s="24">
        <v>87.25</v>
      </c>
      <c r="J31" s="25">
        <v>0</v>
      </c>
      <c r="K31" s="25">
        <v>0</v>
      </c>
      <c r="L31" s="25">
        <v>0</v>
      </c>
      <c r="M31" s="18">
        <f t="shared" si="2"/>
        <v>277.5</v>
      </c>
      <c r="N31" s="19">
        <f t="shared" si="3"/>
        <v>45421</v>
      </c>
      <c r="O31" s="18" t="b">
        <f t="shared" si="0"/>
        <v>0</v>
      </c>
      <c r="P31" s="43" t="str">
        <f>IF(O31,swap_curve!$B$19,"")</f>
        <v/>
      </c>
      <c r="Q31" t="str">
        <f t="shared" si="4"/>
        <v/>
      </c>
      <c r="R31" t="str" cm="1">
        <f t="array" ref="R31">IF(O31,BSCall(swap_curve!$B$20,imvol!M31,imvol!P31,imvol!Q31,YEARFRAC(swap_curve!$C$1,imvol!N31)),"")</f>
        <v/>
      </c>
      <c r="S31" s="20" t="str">
        <f t="shared" si="1"/>
        <v/>
      </c>
    </row>
    <row r="32" spans="1:19" x14ac:dyDescent="0.3">
      <c r="A32" s="23" t="s">
        <v>54</v>
      </c>
      <c r="B32" s="23" t="s">
        <v>55</v>
      </c>
      <c r="C32" s="24" t="s">
        <v>23</v>
      </c>
      <c r="D32" s="24" t="s">
        <v>23</v>
      </c>
      <c r="E32" s="24" t="s">
        <v>23</v>
      </c>
      <c r="F32" s="24" t="s">
        <v>23</v>
      </c>
      <c r="G32" s="24" t="s">
        <v>23</v>
      </c>
      <c r="H32" s="24">
        <v>36.299999999999997</v>
      </c>
      <c r="I32" s="24">
        <v>84.75</v>
      </c>
      <c r="J32" s="25">
        <v>0</v>
      </c>
      <c r="K32" s="25">
        <v>0</v>
      </c>
      <c r="L32" s="25">
        <v>0</v>
      </c>
      <c r="M32" s="18">
        <f t="shared" si="2"/>
        <v>280</v>
      </c>
      <c r="N32" s="19">
        <f t="shared" si="3"/>
        <v>45421</v>
      </c>
      <c r="O32" s="18" t="b">
        <f>IF(J32&gt;100, TRUE,FALSE)</f>
        <v>0</v>
      </c>
      <c r="P32" s="43" t="str">
        <f>IF(O32,swap_curve!$B$19,"")</f>
        <v/>
      </c>
      <c r="Q32" t="str">
        <f t="shared" si="4"/>
        <v/>
      </c>
      <c r="R32" t="str" cm="1">
        <f t="array" ref="R32">IF(O32,BSCall(swap_curve!$B$20,imvol!M32,imvol!P32,imvol!Q32,YEARFRAC(swap_curve!$C$1,imvol!N32)),"")</f>
        <v/>
      </c>
      <c r="S32" s="20" t="str">
        <f t="shared" si="1"/>
        <v/>
      </c>
    </row>
    <row r="33" spans="1:19" x14ac:dyDescent="0.3">
      <c r="A33" s="23" t="s">
        <v>722</v>
      </c>
      <c r="B33" s="23" t="s">
        <v>723</v>
      </c>
      <c r="C33" s="24" t="s">
        <v>23</v>
      </c>
      <c r="D33" s="24" t="s">
        <v>23</v>
      </c>
      <c r="E33" s="24" t="s">
        <v>23</v>
      </c>
      <c r="F33" s="24" t="s">
        <v>23</v>
      </c>
      <c r="G33" s="24" t="s">
        <v>23</v>
      </c>
      <c r="H33" s="24">
        <v>35.380000000000003</v>
      </c>
      <c r="I33" s="24">
        <v>82.25</v>
      </c>
      <c r="J33" s="25">
        <v>0</v>
      </c>
      <c r="K33" s="25">
        <v>0</v>
      </c>
      <c r="L33" s="25">
        <v>0</v>
      </c>
      <c r="M33" s="18">
        <f t="shared" si="2"/>
        <v>282.5</v>
      </c>
      <c r="N33" s="19">
        <f t="shared" si="3"/>
        <v>45421</v>
      </c>
      <c r="O33" s="18" t="b">
        <f t="shared" si="0"/>
        <v>0</v>
      </c>
      <c r="P33" s="43" t="str">
        <f>IF(O33,swap_curve!$B$19,"")</f>
        <v/>
      </c>
      <c r="Q33" t="str">
        <f t="shared" si="4"/>
        <v/>
      </c>
      <c r="R33" t="str" cm="1">
        <f t="array" ref="R33">IF(O33,BSCall(swap_curve!$B$20,imvol!M33,imvol!P33,imvol!Q33,YEARFRAC(swap_curve!$C$1,imvol!N33)),"")</f>
        <v/>
      </c>
      <c r="S33" s="20" t="str">
        <f t="shared" si="1"/>
        <v/>
      </c>
    </row>
    <row r="34" spans="1:19" x14ac:dyDescent="0.3">
      <c r="A34" s="23" t="s">
        <v>56</v>
      </c>
      <c r="B34" s="23" t="s">
        <v>57</v>
      </c>
      <c r="C34" s="24" t="s">
        <v>23</v>
      </c>
      <c r="D34" s="24" t="s">
        <v>23</v>
      </c>
      <c r="E34" s="24" t="s">
        <v>23</v>
      </c>
      <c r="F34" s="24" t="s">
        <v>23</v>
      </c>
      <c r="G34" s="24" t="s">
        <v>23</v>
      </c>
      <c r="H34" s="24">
        <v>34.46</v>
      </c>
      <c r="I34" s="24">
        <v>79.75</v>
      </c>
      <c r="J34" s="25">
        <v>0</v>
      </c>
      <c r="K34" s="25">
        <v>0</v>
      </c>
      <c r="L34" s="25">
        <v>0</v>
      </c>
      <c r="M34" s="18">
        <f t="shared" si="2"/>
        <v>285</v>
      </c>
      <c r="N34" s="19">
        <f t="shared" si="3"/>
        <v>45421</v>
      </c>
      <c r="O34" s="18" t="b">
        <f t="shared" si="0"/>
        <v>0</v>
      </c>
      <c r="P34" s="43" t="str">
        <f>IF(O34,swap_curve!$B$19,"")</f>
        <v/>
      </c>
      <c r="Q34" t="str">
        <f t="shared" si="4"/>
        <v/>
      </c>
      <c r="R34" t="str" cm="1">
        <f t="array" ref="R34">IF(O34,BSCall(swap_curve!$B$20,imvol!M34,imvol!P34,imvol!Q34,YEARFRAC(swap_curve!$C$1,imvol!N34)),"")</f>
        <v/>
      </c>
      <c r="S34" s="20" t="str">
        <f t="shared" si="1"/>
        <v/>
      </c>
    </row>
    <row r="35" spans="1:19" x14ac:dyDescent="0.3">
      <c r="A35" s="23" t="s">
        <v>724</v>
      </c>
      <c r="B35" s="23" t="s">
        <v>725</v>
      </c>
      <c r="C35" s="24" t="s">
        <v>23</v>
      </c>
      <c r="D35" s="24" t="s">
        <v>23</v>
      </c>
      <c r="E35" s="24" t="s">
        <v>23</v>
      </c>
      <c r="F35" s="24" t="s">
        <v>23</v>
      </c>
      <c r="G35" s="24" t="s">
        <v>23</v>
      </c>
      <c r="H35" s="24">
        <v>33.53</v>
      </c>
      <c r="I35" s="24">
        <v>77.25</v>
      </c>
      <c r="J35" s="25">
        <v>0</v>
      </c>
      <c r="K35" s="25">
        <v>0</v>
      </c>
      <c r="L35" s="25">
        <v>0</v>
      </c>
      <c r="M35" s="18">
        <f t="shared" si="2"/>
        <v>287.5</v>
      </c>
      <c r="N35" s="19">
        <f t="shared" si="3"/>
        <v>45421</v>
      </c>
      <c r="O35" s="18" t="b">
        <f t="shared" si="0"/>
        <v>0</v>
      </c>
      <c r="P35" s="43" t="str">
        <f>IF(O35,swap_curve!$B$19,"")</f>
        <v/>
      </c>
      <c r="Q35" t="str">
        <f t="shared" si="4"/>
        <v/>
      </c>
      <c r="R35" t="str" cm="1">
        <f t="array" ref="R35">IF(O35,BSCall(swap_curve!$B$20,imvol!M35,imvol!P35,imvol!Q35,YEARFRAC(swap_curve!$C$1,imvol!N35)),"")</f>
        <v/>
      </c>
      <c r="S35" s="20" t="str">
        <f t="shared" si="1"/>
        <v/>
      </c>
    </row>
    <row r="36" spans="1:19" x14ac:dyDescent="0.3">
      <c r="A36" s="23" t="s">
        <v>58</v>
      </c>
      <c r="B36" s="23" t="s">
        <v>59</v>
      </c>
      <c r="C36" s="24" t="s">
        <v>23</v>
      </c>
      <c r="D36" s="24" t="s">
        <v>23</v>
      </c>
      <c r="E36" s="24" t="s">
        <v>23</v>
      </c>
      <c r="F36" s="24" t="s">
        <v>23</v>
      </c>
      <c r="G36" s="24" t="s">
        <v>23</v>
      </c>
      <c r="H36" s="24">
        <v>32.61</v>
      </c>
      <c r="I36" s="24">
        <v>74.75</v>
      </c>
      <c r="J36" s="25">
        <v>0</v>
      </c>
      <c r="K36" s="25">
        <v>0</v>
      </c>
      <c r="L36" s="25">
        <v>0</v>
      </c>
      <c r="M36" s="18">
        <f t="shared" si="2"/>
        <v>290</v>
      </c>
      <c r="N36" s="19">
        <f t="shared" si="3"/>
        <v>45421</v>
      </c>
      <c r="O36" s="18" t="b">
        <f t="shared" si="0"/>
        <v>0</v>
      </c>
      <c r="P36" s="43" t="str">
        <f>IF(O36,swap_curve!$B$19,"")</f>
        <v/>
      </c>
      <c r="Q36" t="str">
        <f t="shared" si="4"/>
        <v/>
      </c>
      <c r="R36" t="str" cm="1">
        <f t="array" ref="R36">IF(O36,BSCall(swap_curve!$B$20,imvol!M36,imvol!P36,imvol!Q36,YEARFRAC(swap_curve!$C$1,imvol!N36)),"")</f>
        <v/>
      </c>
      <c r="S36" s="20" t="str">
        <f t="shared" si="1"/>
        <v/>
      </c>
    </row>
    <row r="37" spans="1:19" x14ac:dyDescent="0.3">
      <c r="A37" s="23" t="s">
        <v>726</v>
      </c>
      <c r="B37" s="23" t="s">
        <v>727</v>
      </c>
      <c r="C37" s="24" t="s">
        <v>23</v>
      </c>
      <c r="D37" s="24" t="s">
        <v>23</v>
      </c>
      <c r="E37" s="24" t="s">
        <v>23</v>
      </c>
      <c r="F37" s="24" t="s">
        <v>23</v>
      </c>
      <c r="G37" s="24" t="s">
        <v>23</v>
      </c>
      <c r="H37" s="24">
        <v>31.69</v>
      </c>
      <c r="I37" s="24">
        <v>72.25</v>
      </c>
      <c r="J37" s="25">
        <v>0</v>
      </c>
      <c r="K37" s="25">
        <v>0</v>
      </c>
      <c r="L37" s="25">
        <v>0</v>
      </c>
      <c r="M37" s="18">
        <f t="shared" si="2"/>
        <v>292.5</v>
      </c>
      <c r="N37" s="19">
        <f t="shared" si="3"/>
        <v>45421</v>
      </c>
      <c r="O37" s="18" t="b">
        <f t="shared" si="0"/>
        <v>0</v>
      </c>
      <c r="P37" s="43" t="str">
        <f>IF(O37,swap_curve!$B$19,"")</f>
        <v/>
      </c>
      <c r="Q37" t="str">
        <f t="shared" si="4"/>
        <v/>
      </c>
      <c r="R37" t="str" cm="1">
        <f t="array" ref="R37">IF(O37,BSCall(swap_curve!$B$20,imvol!M37,imvol!P37,imvol!Q37,YEARFRAC(swap_curve!$C$1,imvol!N37)),"")</f>
        <v/>
      </c>
      <c r="S37" s="20" t="str">
        <f t="shared" si="1"/>
        <v/>
      </c>
    </row>
    <row r="38" spans="1:19" x14ac:dyDescent="0.3">
      <c r="A38" s="23" t="s">
        <v>60</v>
      </c>
      <c r="B38" s="23" t="s">
        <v>61</v>
      </c>
      <c r="C38" s="24" t="s">
        <v>23</v>
      </c>
      <c r="D38" s="24" t="s">
        <v>23</v>
      </c>
      <c r="E38" s="24" t="s">
        <v>23</v>
      </c>
      <c r="F38" s="24" t="s">
        <v>23</v>
      </c>
      <c r="G38" s="24" t="s">
        <v>23</v>
      </c>
      <c r="H38" s="24">
        <v>30.76</v>
      </c>
      <c r="I38" s="24">
        <v>69.75</v>
      </c>
      <c r="J38" s="25">
        <v>0</v>
      </c>
      <c r="K38" s="25">
        <v>0</v>
      </c>
      <c r="L38" s="25">
        <v>0</v>
      </c>
      <c r="M38" s="18">
        <f t="shared" si="2"/>
        <v>295</v>
      </c>
      <c r="N38" s="19">
        <f t="shared" si="3"/>
        <v>45421</v>
      </c>
      <c r="O38" s="18" t="b">
        <f t="shared" si="0"/>
        <v>0</v>
      </c>
      <c r="P38" s="43" t="str">
        <f>IF(O38,swap_curve!$B$19,"")</f>
        <v/>
      </c>
      <c r="Q38" t="str">
        <f t="shared" si="4"/>
        <v/>
      </c>
      <c r="R38" t="str" cm="1">
        <f t="array" ref="R38">IF(O38,BSCall(swap_curve!$B$20,imvol!M38,imvol!P38,imvol!Q38,YEARFRAC(swap_curve!$C$1,imvol!N38)),"")</f>
        <v/>
      </c>
      <c r="S38" s="20" t="str">
        <f t="shared" si="1"/>
        <v/>
      </c>
    </row>
    <row r="39" spans="1:19" x14ac:dyDescent="0.3">
      <c r="A39" s="23" t="s">
        <v>728</v>
      </c>
      <c r="B39" s="23" t="s">
        <v>729</v>
      </c>
      <c r="C39" s="24" t="s">
        <v>23</v>
      </c>
      <c r="D39" s="24" t="s">
        <v>23</v>
      </c>
      <c r="E39" s="24" t="s">
        <v>23</v>
      </c>
      <c r="F39" s="24" t="s">
        <v>23</v>
      </c>
      <c r="G39" s="24" t="s">
        <v>23</v>
      </c>
      <c r="H39" s="24">
        <v>29.84</v>
      </c>
      <c r="I39" s="24">
        <v>67.25</v>
      </c>
      <c r="J39" s="25">
        <v>0</v>
      </c>
      <c r="K39" s="25">
        <v>0</v>
      </c>
      <c r="L39" s="25">
        <v>0</v>
      </c>
      <c r="M39" s="18">
        <f t="shared" si="2"/>
        <v>297.5</v>
      </c>
      <c r="N39" s="19">
        <f t="shared" si="3"/>
        <v>45421</v>
      </c>
      <c r="O39" s="18" t="b">
        <f t="shared" si="0"/>
        <v>0</v>
      </c>
      <c r="P39" s="43" t="str">
        <f>IF(O39,swap_curve!$B$19,"")</f>
        <v/>
      </c>
      <c r="Q39" t="str">
        <f t="shared" si="4"/>
        <v/>
      </c>
      <c r="R39" t="str" cm="1">
        <f t="array" ref="R39">IF(O39,BSCall(swap_curve!$B$20,imvol!M39,imvol!P39,imvol!Q39,YEARFRAC(swap_curve!$C$1,imvol!N39)),"")</f>
        <v/>
      </c>
      <c r="S39" s="20" t="str">
        <f t="shared" si="1"/>
        <v/>
      </c>
    </row>
    <row r="40" spans="1:19" x14ac:dyDescent="0.3">
      <c r="A40" s="23" t="s">
        <v>62</v>
      </c>
      <c r="B40" s="23" t="s">
        <v>63</v>
      </c>
      <c r="C40" s="24" t="s">
        <v>23</v>
      </c>
      <c r="D40" s="24" t="s">
        <v>23</v>
      </c>
      <c r="E40" s="24" t="s">
        <v>23</v>
      </c>
      <c r="F40" s="24" t="s">
        <v>23</v>
      </c>
      <c r="G40" s="24" t="s">
        <v>23</v>
      </c>
      <c r="H40" s="24">
        <v>28.92</v>
      </c>
      <c r="I40" s="24">
        <v>64.75</v>
      </c>
      <c r="J40" s="25">
        <v>0</v>
      </c>
      <c r="K40" s="25">
        <v>0</v>
      </c>
      <c r="L40" s="25">
        <v>7</v>
      </c>
      <c r="M40" s="18">
        <f t="shared" si="2"/>
        <v>300</v>
      </c>
      <c r="N40" s="19">
        <f t="shared" si="3"/>
        <v>45421</v>
      </c>
      <c r="O40" s="18" t="b">
        <f t="shared" si="0"/>
        <v>0</v>
      </c>
      <c r="P40" s="43" t="str">
        <f>IF(O40,swap_curve!$B$19,"")</f>
        <v/>
      </c>
      <c r="Q40" t="str">
        <f t="shared" si="4"/>
        <v/>
      </c>
      <c r="R40" t="str" cm="1">
        <f t="array" ref="R40">IF(O40,BSCall(swap_curve!$B$20,imvol!M40,imvol!P40,imvol!Q40,YEARFRAC(swap_curve!$C$1,imvol!N40)),"")</f>
        <v/>
      </c>
      <c r="S40" s="20" t="str">
        <f t="shared" si="1"/>
        <v/>
      </c>
    </row>
    <row r="41" spans="1:19" x14ac:dyDescent="0.3">
      <c r="A41" s="23" t="s">
        <v>730</v>
      </c>
      <c r="B41" s="23" t="s">
        <v>731</v>
      </c>
      <c r="C41" s="24" t="s">
        <v>23</v>
      </c>
      <c r="D41" s="24" t="s">
        <v>23</v>
      </c>
      <c r="E41" s="24" t="s">
        <v>23</v>
      </c>
      <c r="F41" s="24" t="s">
        <v>23</v>
      </c>
      <c r="G41" s="24" t="s">
        <v>23</v>
      </c>
      <c r="H41" s="24">
        <v>28</v>
      </c>
      <c r="I41" s="24">
        <v>62.3</v>
      </c>
      <c r="J41" s="25">
        <v>0</v>
      </c>
      <c r="K41" s="25">
        <v>0</v>
      </c>
      <c r="L41" s="25">
        <v>0</v>
      </c>
      <c r="M41" s="18">
        <f t="shared" si="2"/>
        <v>302.5</v>
      </c>
      <c r="N41" s="19">
        <f t="shared" si="3"/>
        <v>45421</v>
      </c>
      <c r="O41" s="18" t="b">
        <f t="shared" si="0"/>
        <v>0</v>
      </c>
      <c r="P41" s="43" t="str">
        <f>IF(O41,swap_curve!$B$19,"")</f>
        <v/>
      </c>
      <c r="Q41" t="str">
        <f t="shared" si="4"/>
        <v/>
      </c>
      <c r="R41" t="str" cm="1">
        <f t="array" ref="R41">IF(O41,BSCall(swap_curve!$B$20,imvol!M41,imvol!P41,imvol!Q41,YEARFRAC(swap_curve!$C$1,imvol!N41)),"")</f>
        <v/>
      </c>
      <c r="S41" s="20" t="str">
        <f t="shared" si="1"/>
        <v/>
      </c>
    </row>
    <row r="42" spans="1:19" x14ac:dyDescent="0.3">
      <c r="A42" s="23" t="s">
        <v>64</v>
      </c>
      <c r="B42" s="23" t="s">
        <v>65</v>
      </c>
      <c r="C42" s="24" t="s">
        <v>23</v>
      </c>
      <c r="D42" s="24" t="s">
        <v>23</v>
      </c>
      <c r="E42" s="24" t="s">
        <v>23</v>
      </c>
      <c r="F42" s="24" t="s">
        <v>23</v>
      </c>
      <c r="G42" s="24" t="s">
        <v>23</v>
      </c>
      <c r="H42" s="24">
        <v>27.07</v>
      </c>
      <c r="I42" s="24">
        <v>59.8</v>
      </c>
      <c r="J42" s="25">
        <v>0</v>
      </c>
      <c r="K42" s="25">
        <v>0</v>
      </c>
      <c r="L42" s="25">
        <v>0</v>
      </c>
      <c r="M42" s="18">
        <f t="shared" si="2"/>
        <v>305</v>
      </c>
      <c r="N42" s="19">
        <f t="shared" si="3"/>
        <v>45421</v>
      </c>
      <c r="O42" s="18" t="b">
        <f t="shared" si="0"/>
        <v>0</v>
      </c>
      <c r="P42" s="43" t="str">
        <f>IF(O42,swap_curve!$B$19,"")</f>
        <v/>
      </c>
      <c r="Q42" t="str">
        <f t="shared" si="4"/>
        <v/>
      </c>
      <c r="R42" t="str" cm="1">
        <f t="array" ref="R42">IF(O42,BSCall(swap_curve!$B$20,imvol!M42,imvol!P42,imvol!Q42,YEARFRAC(swap_curve!$C$1,imvol!N42)),"")</f>
        <v/>
      </c>
      <c r="S42" s="20" t="str">
        <f t="shared" si="1"/>
        <v/>
      </c>
    </row>
    <row r="43" spans="1:19" x14ac:dyDescent="0.3">
      <c r="A43" s="23" t="s">
        <v>732</v>
      </c>
      <c r="B43" s="23" t="s">
        <v>733</v>
      </c>
      <c r="C43" s="24" t="s">
        <v>23</v>
      </c>
      <c r="D43" s="24" t="s">
        <v>23</v>
      </c>
      <c r="E43" s="24" t="s">
        <v>23</v>
      </c>
      <c r="F43" s="24" t="s">
        <v>23</v>
      </c>
      <c r="G43" s="24" t="s">
        <v>23</v>
      </c>
      <c r="H43" s="24">
        <v>26.15</v>
      </c>
      <c r="I43" s="24">
        <v>57.3</v>
      </c>
      <c r="J43" s="25">
        <v>0</v>
      </c>
      <c r="K43" s="25">
        <v>0</v>
      </c>
      <c r="L43" s="25">
        <v>0</v>
      </c>
      <c r="M43" s="18">
        <f t="shared" si="2"/>
        <v>307.5</v>
      </c>
      <c r="N43" s="19">
        <f t="shared" si="3"/>
        <v>45421</v>
      </c>
      <c r="O43" s="18" t="b">
        <f t="shared" si="0"/>
        <v>0</v>
      </c>
      <c r="P43" s="43" t="str">
        <f>IF(O43,swap_curve!$B$19,"")</f>
        <v/>
      </c>
      <c r="Q43" t="str">
        <f t="shared" si="4"/>
        <v/>
      </c>
      <c r="R43" t="str" cm="1">
        <f t="array" ref="R43">IF(O43,BSCall(swap_curve!$B$20,imvol!M43,imvol!P43,imvol!Q43,YEARFRAC(swap_curve!$C$1,imvol!N43)),"")</f>
        <v/>
      </c>
      <c r="S43" s="20" t="str">
        <f t="shared" si="1"/>
        <v/>
      </c>
    </row>
    <row r="44" spans="1:19" x14ac:dyDescent="0.3">
      <c r="A44" s="23" t="s">
        <v>66</v>
      </c>
      <c r="B44" s="23" t="s">
        <v>67</v>
      </c>
      <c r="C44" s="24" t="s">
        <v>23</v>
      </c>
      <c r="D44" s="24" t="s">
        <v>23</v>
      </c>
      <c r="E44" s="24" t="s">
        <v>23</v>
      </c>
      <c r="F44" s="24" t="s">
        <v>23</v>
      </c>
      <c r="G44" s="24" t="s">
        <v>23</v>
      </c>
      <c r="H44" s="24">
        <v>25.23</v>
      </c>
      <c r="I44" s="24">
        <v>54.8</v>
      </c>
      <c r="J44" s="25">
        <v>0</v>
      </c>
      <c r="K44" s="25">
        <v>0</v>
      </c>
      <c r="L44" s="25">
        <v>3</v>
      </c>
      <c r="M44" s="18">
        <f t="shared" si="2"/>
        <v>310</v>
      </c>
      <c r="N44" s="19">
        <f t="shared" si="3"/>
        <v>45421</v>
      </c>
      <c r="O44" s="18" t="b">
        <f t="shared" si="0"/>
        <v>0</v>
      </c>
      <c r="P44" s="43" t="str">
        <f>IF(O44,swap_curve!$B$19,"")</f>
        <v/>
      </c>
      <c r="Q44" t="str">
        <f t="shared" si="4"/>
        <v/>
      </c>
      <c r="R44" t="str" cm="1">
        <f t="array" ref="R44">IF(O44,BSCall(swap_curve!$B$20,imvol!M44,imvol!P44,imvol!Q44,YEARFRAC(swap_curve!$C$1,imvol!N44)),"")</f>
        <v/>
      </c>
      <c r="S44" s="20" t="str">
        <f t="shared" si="1"/>
        <v/>
      </c>
    </row>
    <row r="45" spans="1:19" x14ac:dyDescent="0.3">
      <c r="A45" s="23" t="s">
        <v>734</v>
      </c>
      <c r="B45" s="23" t="s">
        <v>735</v>
      </c>
      <c r="C45" s="24" t="s">
        <v>23</v>
      </c>
      <c r="D45" s="24" t="s">
        <v>23</v>
      </c>
      <c r="E45" s="24" t="s">
        <v>23</v>
      </c>
      <c r="F45" s="24" t="s">
        <v>23</v>
      </c>
      <c r="G45" s="24" t="s">
        <v>23</v>
      </c>
      <c r="H45" s="24">
        <v>24.3</v>
      </c>
      <c r="I45" s="24">
        <v>52.3</v>
      </c>
      <c r="J45" s="25">
        <v>0</v>
      </c>
      <c r="K45" s="25">
        <v>0</v>
      </c>
      <c r="L45" s="25">
        <v>0</v>
      </c>
      <c r="M45" s="18">
        <f t="shared" si="2"/>
        <v>312.5</v>
      </c>
      <c r="N45" s="19">
        <f t="shared" si="3"/>
        <v>45421</v>
      </c>
      <c r="O45" s="18" t="b">
        <f t="shared" si="0"/>
        <v>0</v>
      </c>
      <c r="P45" s="43" t="str">
        <f>IF(O45,swap_curve!$B$19,"")</f>
        <v/>
      </c>
      <c r="Q45" t="str">
        <f t="shared" si="4"/>
        <v/>
      </c>
      <c r="R45" t="str" cm="1">
        <f t="array" ref="R45">IF(O45,BSCall(swap_curve!$B$20,imvol!M45,imvol!P45,imvol!Q45,YEARFRAC(swap_curve!$C$1,imvol!N45)),"")</f>
        <v/>
      </c>
      <c r="S45" s="20" t="str">
        <f t="shared" si="1"/>
        <v/>
      </c>
    </row>
    <row r="46" spans="1:19" x14ac:dyDescent="0.3">
      <c r="A46" s="23" t="s">
        <v>68</v>
      </c>
      <c r="B46" s="23" t="s">
        <v>69</v>
      </c>
      <c r="C46" s="24" t="s">
        <v>23</v>
      </c>
      <c r="D46" s="24" t="s">
        <v>23</v>
      </c>
      <c r="E46" s="24" t="s">
        <v>23</v>
      </c>
      <c r="F46" s="24" t="s">
        <v>23</v>
      </c>
      <c r="G46" s="24" t="s">
        <v>23</v>
      </c>
      <c r="H46" s="24">
        <v>23.38</v>
      </c>
      <c r="I46" s="24">
        <v>49.8</v>
      </c>
      <c r="J46" s="25">
        <v>0</v>
      </c>
      <c r="K46" s="25">
        <v>0</v>
      </c>
      <c r="L46" s="25">
        <v>0</v>
      </c>
      <c r="M46" s="18">
        <f t="shared" si="2"/>
        <v>315</v>
      </c>
      <c r="N46" s="19">
        <f t="shared" si="3"/>
        <v>45421</v>
      </c>
      <c r="O46" s="18" t="b">
        <f t="shared" si="0"/>
        <v>0</v>
      </c>
      <c r="P46" s="43" t="str">
        <f>IF(O46,swap_curve!$B$19,"")</f>
        <v/>
      </c>
      <c r="Q46" t="str">
        <f t="shared" si="4"/>
        <v/>
      </c>
      <c r="R46" t="str" cm="1">
        <f t="array" ref="R46">IF(O46,BSCall(swap_curve!$B$20,imvol!M46,imvol!P46,imvol!Q46,YEARFRAC(swap_curve!$C$1,imvol!N46)),"")</f>
        <v/>
      </c>
      <c r="S46" s="20" t="str">
        <f t="shared" si="1"/>
        <v/>
      </c>
    </row>
    <row r="47" spans="1:19" x14ac:dyDescent="0.3">
      <c r="A47" s="23" t="s">
        <v>736</v>
      </c>
      <c r="B47" s="23" t="s">
        <v>737</v>
      </c>
      <c r="C47" s="24" t="s">
        <v>23</v>
      </c>
      <c r="D47" s="24" t="s">
        <v>23</v>
      </c>
      <c r="E47" s="24" t="s">
        <v>23</v>
      </c>
      <c r="F47" s="24" t="s">
        <v>23</v>
      </c>
      <c r="G47" s="24" t="s">
        <v>23</v>
      </c>
      <c r="H47" s="24">
        <v>22.46</v>
      </c>
      <c r="I47" s="24">
        <v>47.3</v>
      </c>
      <c r="J47" s="25">
        <v>0</v>
      </c>
      <c r="K47" s="25">
        <v>0</v>
      </c>
      <c r="L47" s="25">
        <v>1</v>
      </c>
      <c r="M47" s="18">
        <f t="shared" si="2"/>
        <v>317.5</v>
      </c>
      <c r="N47" s="19">
        <f t="shared" si="3"/>
        <v>45421</v>
      </c>
      <c r="O47" s="18" t="b">
        <f t="shared" si="0"/>
        <v>0</v>
      </c>
      <c r="P47" s="43" t="str">
        <f>IF(O47,swap_curve!$B$19,"")</f>
        <v/>
      </c>
      <c r="Q47" t="str">
        <f t="shared" si="4"/>
        <v/>
      </c>
      <c r="R47" t="str" cm="1">
        <f t="array" ref="R47">IF(O47,BSCall(swap_curve!$B$20,imvol!M47,imvol!P47,imvol!Q47,YEARFRAC(swap_curve!$C$1,imvol!N47)),"")</f>
        <v/>
      </c>
      <c r="S47" s="20" t="str">
        <f t="shared" si="1"/>
        <v/>
      </c>
    </row>
    <row r="48" spans="1:19" x14ac:dyDescent="0.3">
      <c r="A48" s="23" t="s">
        <v>70</v>
      </c>
      <c r="B48" s="23" t="s">
        <v>71</v>
      </c>
      <c r="C48" s="24" t="s">
        <v>23</v>
      </c>
      <c r="D48" s="24" t="s">
        <v>23</v>
      </c>
      <c r="E48" s="24" t="s">
        <v>23</v>
      </c>
      <c r="F48" s="24" t="s">
        <v>23</v>
      </c>
      <c r="G48" s="24" t="s">
        <v>23</v>
      </c>
      <c r="H48" s="24">
        <v>21.53</v>
      </c>
      <c r="I48" s="24">
        <v>44.8</v>
      </c>
      <c r="J48" s="25">
        <v>0</v>
      </c>
      <c r="K48" s="25">
        <v>0</v>
      </c>
      <c r="L48" s="25">
        <v>55</v>
      </c>
      <c r="M48" s="18">
        <f t="shared" si="2"/>
        <v>320</v>
      </c>
      <c r="N48" s="19">
        <f t="shared" si="3"/>
        <v>45421</v>
      </c>
      <c r="O48" s="18" t="b">
        <f t="shared" si="0"/>
        <v>0</v>
      </c>
      <c r="P48" s="43" t="str">
        <f>IF(O48,swap_curve!$B$19,"")</f>
        <v/>
      </c>
      <c r="Q48" t="str">
        <f t="shared" si="4"/>
        <v/>
      </c>
      <c r="R48" t="str" cm="1">
        <f t="array" ref="R48">IF(O48,BSCall(swap_curve!$B$20,imvol!M48,imvol!P48,imvol!Q48,YEARFRAC(swap_curve!$C$1,imvol!N48)),"")</f>
        <v/>
      </c>
      <c r="S48" s="20" t="str">
        <f t="shared" si="1"/>
        <v/>
      </c>
    </row>
    <row r="49" spans="1:19" x14ac:dyDescent="0.3">
      <c r="A49" s="23" t="s">
        <v>738</v>
      </c>
      <c r="B49" s="23" t="s">
        <v>739</v>
      </c>
      <c r="C49" s="24" t="s">
        <v>23</v>
      </c>
      <c r="D49" s="24" t="s">
        <v>23</v>
      </c>
      <c r="E49" s="24" t="s">
        <v>23</v>
      </c>
      <c r="F49" s="24" t="s">
        <v>23</v>
      </c>
      <c r="G49" s="24" t="s">
        <v>23</v>
      </c>
      <c r="H49" s="24">
        <v>20.61</v>
      </c>
      <c r="I49" s="24">
        <v>42.3</v>
      </c>
      <c r="J49" s="25">
        <v>0</v>
      </c>
      <c r="K49" s="25">
        <v>0</v>
      </c>
      <c r="L49" s="25">
        <v>1</v>
      </c>
      <c r="M49" s="18">
        <f t="shared" si="2"/>
        <v>322.5</v>
      </c>
      <c r="N49" s="19">
        <f t="shared" si="3"/>
        <v>45421</v>
      </c>
      <c r="O49" s="18" t="b">
        <f t="shared" si="0"/>
        <v>0</v>
      </c>
      <c r="P49" s="43" t="str">
        <f>IF(O49,swap_curve!$B$19,"")</f>
        <v/>
      </c>
      <c r="Q49" t="str">
        <f t="shared" si="4"/>
        <v/>
      </c>
      <c r="R49" t="str" cm="1">
        <f t="array" ref="R49">IF(O49,BSCall(swap_curve!$B$20,imvol!M49,imvol!P49,imvol!Q49,YEARFRAC(swap_curve!$C$1,imvol!N49)),"")</f>
        <v/>
      </c>
      <c r="S49" s="20" t="str">
        <f t="shared" si="1"/>
        <v/>
      </c>
    </row>
    <row r="50" spans="1:19" x14ac:dyDescent="0.3">
      <c r="A50" s="23" t="s">
        <v>72</v>
      </c>
      <c r="B50" s="23" t="s">
        <v>73</v>
      </c>
      <c r="C50" s="24" t="s">
        <v>23</v>
      </c>
      <c r="D50" s="24" t="s">
        <v>23</v>
      </c>
      <c r="E50" s="24" t="s">
        <v>23</v>
      </c>
      <c r="F50" s="24" t="s">
        <v>23</v>
      </c>
      <c r="G50" s="24" t="s">
        <v>23</v>
      </c>
      <c r="H50" s="24">
        <v>19.690000000000001</v>
      </c>
      <c r="I50" s="24">
        <v>39.799999999999997</v>
      </c>
      <c r="J50" s="25">
        <v>0</v>
      </c>
      <c r="K50" s="25">
        <v>0</v>
      </c>
      <c r="L50" s="25">
        <v>1</v>
      </c>
      <c r="M50" s="18">
        <f t="shared" si="2"/>
        <v>325</v>
      </c>
      <c r="N50" s="19">
        <f t="shared" si="3"/>
        <v>45421</v>
      </c>
      <c r="O50" s="18" t="b">
        <f t="shared" si="0"/>
        <v>0</v>
      </c>
      <c r="P50" s="43" t="str">
        <f>IF(O50,swap_curve!$B$19,"")</f>
        <v/>
      </c>
      <c r="Q50" t="str">
        <f t="shared" si="4"/>
        <v/>
      </c>
      <c r="R50" t="str" cm="1">
        <f t="array" ref="R50">IF(O50,BSCall(swap_curve!$B$20,imvol!M50,imvol!P50,imvol!Q50,YEARFRAC(swap_curve!$C$1,imvol!N50)),"")</f>
        <v/>
      </c>
      <c r="S50" s="20" t="str">
        <f t="shared" si="1"/>
        <v/>
      </c>
    </row>
    <row r="51" spans="1:19" x14ac:dyDescent="0.3">
      <c r="A51" s="23" t="s">
        <v>740</v>
      </c>
      <c r="B51" s="23" t="s">
        <v>741</v>
      </c>
      <c r="C51" s="24" t="s">
        <v>23</v>
      </c>
      <c r="D51" s="24" t="s">
        <v>23</v>
      </c>
      <c r="E51" s="24" t="s">
        <v>23</v>
      </c>
      <c r="F51" s="24" t="s">
        <v>23</v>
      </c>
      <c r="G51" s="24" t="s">
        <v>23</v>
      </c>
      <c r="H51" s="24">
        <v>18.760000000000002</v>
      </c>
      <c r="I51" s="24">
        <v>37.299999999999997</v>
      </c>
      <c r="J51" s="25">
        <v>0</v>
      </c>
      <c r="K51" s="25">
        <v>0</v>
      </c>
      <c r="L51" s="25">
        <v>1</v>
      </c>
      <c r="M51" s="18">
        <f t="shared" si="2"/>
        <v>327.5</v>
      </c>
      <c r="N51" s="19">
        <f t="shared" si="3"/>
        <v>45421</v>
      </c>
      <c r="O51" s="18" t="b">
        <f t="shared" si="0"/>
        <v>0</v>
      </c>
      <c r="P51" s="43" t="str">
        <f>IF(O51,swap_curve!$B$19,"")</f>
        <v/>
      </c>
      <c r="Q51" t="str">
        <f t="shared" si="4"/>
        <v/>
      </c>
      <c r="R51" t="str" cm="1">
        <f t="array" ref="R51">IF(O51,BSCall(swap_curve!$B$20,imvol!M51,imvol!P51,imvol!Q51,YEARFRAC(swap_curve!$C$1,imvol!N51)),"")</f>
        <v/>
      </c>
      <c r="S51" s="20" t="str">
        <f t="shared" si="1"/>
        <v/>
      </c>
    </row>
    <row r="52" spans="1:19" x14ac:dyDescent="0.3">
      <c r="A52" s="23" t="s">
        <v>74</v>
      </c>
      <c r="B52" s="23" t="s">
        <v>75</v>
      </c>
      <c r="C52" s="24" t="s">
        <v>23</v>
      </c>
      <c r="D52" s="24" t="s">
        <v>23</v>
      </c>
      <c r="E52" s="24" t="s">
        <v>23</v>
      </c>
      <c r="F52" s="24" t="s">
        <v>23</v>
      </c>
      <c r="G52" s="24" t="s">
        <v>23</v>
      </c>
      <c r="H52" s="24">
        <v>17.84</v>
      </c>
      <c r="I52" s="24">
        <v>34.799999999999997</v>
      </c>
      <c r="J52" s="25">
        <v>0</v>
      </c>
      <c r="K52" s="25">
        <v>0</v>
      </c>
      <c r="L52" s="25">
        <v>28</v>
      </c>
      <c r="M52" s="18">
        <f t="shared" si="2"/>
        <v>330</v>
      </c>
      <c r="N52" s="19">
        <f t="shared" si="3"/>
        <v>45421</v>
      </c>
      <c r="O52" s="18" t="b">
        <f t="shared" si="0"/>
        <v>0</v>
      </c>
      <c r="P52" s="43" t="str">
        <f>IF(O52,swap_curve!$B$19,"")</f>
        <v/>
      </c>
      <c r="Q52" t="str">
        <f t="shared" si="4"/>
        <v/>
      </c>
      <c r="R52" t="str" cm="1">
        <f t="array" ref="R52">IF(O52,BSCall(swap_curve!$B$20,imvol!M52,imvol!P52,imvol!Q52,YEARFRAC(swap_curve!$C$1,imvol!N52)),"")</f>
        <v/>
      </c>
      <c r="S52" s="20" t="str">
        <f t="shared" si="1"/>
        <v/>
      </c>
    </row>
    <row r="53" spans="1:19" x14ac:dyDescent="0.3">
      <c r="A53" s="23" t="s">
        <v>742</v>
      </c>
      <c r="B53" s="23" t="s">
        <v>743</v>
      </c>
      <c r="C53" s="24" t="s">
        <v>23</v>
      </c>
      <c r="D53" s="24" t="s">
        <v>23</v>
      </c>
      <c r="E53" s="24" t="s">
        <v>23</v>
      </c>
      <c r="F53" s="24" t="s">
        <v>23</v>
      </c>
      <c r="G53" s="24" t="s">
        <v>23</v>
      </c>
      <c r="H53" s="24">
        <v>16.920000000000002</v>
      </c>
      <c r="I53" s="24">
        <v>32.299999999999997</v>
      </c>
      <c r="J53" s="25">
        <v>0</v>
      </c>
      <c r="K53" s="25">
        <v>0</v>
      </c>
      <c r="L53" s="25">
        <v>5</v>
      </c>
      <c r="M53" s="18">
        <f t="shared" si="2"/>
        <v>332.5</v>
      </c>
      <c r="N53" s="19">
        <f t="shared" si="3"/>
        <v>45421</v>
      </c>
      <c r="O53" s="18" t="b">
        <f t="shared" si="0"/>
        <v>0</v>
      </c>
      <c r="P53" s="43" t="str">
        <f>IF(O53,swap_curve!$B$19,"")</f>
        <v/>
      </c>
      <c r="Q53" t="str">
        <f t="shared" si="4"/>
        <v/>
      </c>
      <c r="R53" t="str" cm="1">
        <f t="array" ref="R53">IF(O53,BSCall(swap_curve!$B$20,imvol!M53,imvol!P53,imvol!Q53,YEARFRAC(swap_curve!$C$1,imvol!N53)),"")</f>
        <v/>
      </c>
      <c r="S53" s="20" t="str">
        <f t="shared" si="1"/>
        <v/>
      </c>
    </row>
    <row r="54" spans="1:19" x14ac:dyDescent="0.3">
      <c r="A54" s="23" t="s">
        <v>76</v>
      </c>
      <c r="B54" s="23" t="s">
        <v>77</v>
      </c>
      <c r="C54" s="24">
        <v>28.4</v>
      </c>
      <c r="D54" s="24">
        <v>2</v>
      </c>
      <c r="E54" s="24">
        <v>29.5</v>
      </c>
      <c r="F54" s="24">
        <v>29.5</v>
      </c>
      <c r="G54" s="24">
        <v>28.4</v>
      </c>
      <c r="H54" s="24">
        <v>16</v>
      </c>
      <c r="I54" s="24">
        <v>28.4</v>
      </c>
      <c r="J54" s="25">
        <v>3</v>
      </c>
      <c r="K54" s="25">
        <v>22</v>
      </c>
      <c r="L54" s="25">
        <v>69</v>
      </c>
      <c r="M54" s="18">
        <f t="shared" si="2"/>
        <v>335</v>
      </c>
      <c r="N54" s="19">
        <f t="shared" si="3"/>
        <v>45421</v>
      </c>
      <c r="O54" s="18" t="b">
        <f t="shared" si="0"/>
        <v>0</v>
      </c>
      <c r="P54" s="43" t="str">
        <f>IF(O54,swap_curve!$B$19,"")</f>
        <v/>
      </c>
      <c r="Q54" t="str">
        <f t="shared" si="4"/>
        <v/>
      </c>
      <c r="R54" t="str" cm="1">
        <f t="array" ref="R54">IF(O54,BSCall(swap_curve!$B$20,imvol!M54,imvol!P54,imvol!Q54,YEARFRAC(swap_curve!$C$1,imvol!N54)),"")</f>
        <v/>
      </c>
      <c r="S54" s="20" t="str">
        <f t="shared" si="1"/>
        <v/>
      </c>
    </row>
    <row r="55" spans="1:19" x14ac:dyDescent="0.3">
      <c r="A55" s="23" t="s">
        <v>744</v>
      </c>
      <c r="B55" s="23" t="s">
        <v>745</v>
      </c>
      <c r="C55" s="24">
        <v>27</v>
      </c>
      <c r="D55" s="24">
        <v>3.25</v>
      </c>
      <c r="E55" s="24">
        <v>25.5</v>
      </c>
      <c r="F55" s="24">
        <v>27</v>
      </c>
      <c r="G55" s="24">
        <v>25.5</v>
      </c>
      <c r="H55" s="24">
        <v>16</v>
      </c>
      <c r="I55" s="24">
        <v>27</v>
      </c>
      <c r="J55" s="25">
        <v>2</v>
      </c>
      <c r="K55" s="25">
        <v>13</v>
      </c>
      <c r="L55" s="25">
        <v>54</v>
      </c>
      <c r="M55" s="18">
        <f t="shared" si="2"/>
        <v>337.5</v>
      </c>
      <c r="N55" s="19">
        <f t="shared" si="3"/>
        <v>45421</v>
      </c>
      <c r="O55" s="18" t="b">
        <f t="shared" si="0"/>
        <v>0</v>
      </c>
      <c r="P55" s="43" t="str">
        <f>IF(O55,swap_curve!$B$19,"")</f>
        <v/>
      </c>
      <c r="Q55" t="str">
        <f t="shared" si="4"/>
        <v/>
      </c>
      <c r="R55" t="str" cm="1">
        <f t="array" ref="R55">IF(O55,BSCall(swap_curve!$B$20,imvol!M55,imvol!P55,imvol!Q55,YEARFRAC(swap_curve!$C$1,imvol!N55)),"")</f>
        <v/>
      </c>
      <c r="S55" s="20" t="str">
        <f t="shared" si="1"/>
        <v/>
      </c>
    </row>
    <row r="56" spans="1:19" x14ac:dyDescent="0.3">
      <c r="A56" s="23" t="s">
        <v>78</v>
      </c>
      <c r="B56" s="23" t="s">
        <v>79</v>
      </c>
      <c r="C56" s="24" t="s">
        <v>23</v>
      </c>
      <c r="D56" s="24" t="s">
        <v>23</v>
      </c>
      <c r="E56" s="24" t="s">
        <v>23</v>
      </c>
      <c r="F56" s="24" t="s">
        <v>23</v>
      </c>
      <c r="G56" s="24" t="s">
        <v>23</v>
      </c>
      <c r="H56" s="24">
        <v>26</v>
      </c>
      <c r="I56" s="24">
        <v>25.15</v>
      </c>
      <c r="J56" s="25">
        <v>0</v>
      </c>
      <c r="K56" s="25">
        <v>0</v>
      </c>
      <c r="L56" s="25">
        <v>393</v>
      </c>
      <c r="M56" s="18">
        <f t="shared" si="2"/>
        <v>340</v>
      </c>
      <c r="N56" s="19">
        <f t="shared" si="3"/>
        <v>45421</v>
      </c>
      <c r="O56" s="18" t="b">
        <f t="shared" si="0"/>
        <v>0</v>
      </c>
      <c r="P56" s="43" t="str">
        <f>IF(O56,swap_curve!$B$19,"")</f>
        <v/>
      </c>
      <c r="Q56" t="str">
        <f t="shared" si="4"/>
        <v/>
      </c>
      <c r="R56" t="str" cm="1">
        <f t="array" ref="R56">IF(O56,BSCall(swap_curve!$B$20,imvol!M56,imvol!P56,imvol!Q56,YEARFRAC(swap_curve!$C$1,imvol!N56)),"")</f>
        <v/>
      </c>
      <c r="S56" s="20" t="str">
        <f t="shared" si="1"/>
        <v/>
      </c>
    </row>
    <row r="57" spans="1:19" x14ac:dyDescent="0.3">
      <c r="A57" s="23" t="s">
        <v>746</v>
      </c>
      <c r="B57" s="23" t="s">
        <v>747</v>
      </c>
      <c r="C57" s="24">
        <v>21.25</v>
      </c>
      <c r="D57" s="24">
        <v>1.65</v>
      </c>
      <c r="E57" s="24">
        <v>21.25</v>
      </c>
      <c r="F57" s="24">
        <v>21.25</v>
      </c>
      <c r="G57" s="24">
        <v>21.25</v>
      </c>
      <c r="H57" s="24">
        <v>36</v>
      </c>
      <c r="I57" s="24">
        <v>21.25</v>
      </c>
      <c r="J57" s="25">
        <v>1</v>
      </c>
      <c r="K57" s="25">
        <v>5</v>
      </c>
      <c r="L57" s="25">
        <v>306</v>
      </c>
      <c r="M57" s="18">
        <f t="shared" si="2"/>
        <v>342.5</v>
      </c>
      <c r="N57" s="19">
        <f t="shared" si="3"/>
        <v>45421</v>
      </c>
      <c r="O57" s="18" t="b">
        <f t="shared" si="0"/>
        <v>0</v>
      </c>
      <c r="P57" s="43" t="str">
        <f>IF(O57,swap_curve!$B$19,"")</f>
        <v/>
      </c>
      <c r="Q57" t="str">
        <f t="shared" si="4"/>
        <v/>
      </c>
      <c r="R57" t="str" cm="1">
        <f t="array" ref="R57">IF(O57,BSCall(swap_curve!$B$20,imvol!M57,imvol!P57,imvol!Q57,YEARFRAC(swap_curve!$C$1,imvol!N57)),"")</f>
        <v/>
      </c>
      <c r="S57" s="20" t="str">
        <f t="shared" si="1"/>
        <v/>
      </c>
    </row>
    <row r="58" spans="1:19" x14ac:dyDescent="0.3">
      <c r="A58" s="23" t="s">
        <v>80</v>
      </c>
      <c r="B58" s="23" t="s">
        <v>81</v>
      </c>
      <c r="C58" s="24">
        <v>19.75</v>
      </c>
      <c r="D58" s="24">
        <v>2.9</v>
      </c>
      <c r="E58" s="24">
        <v>19.8</v>
      </c>
      <c r="F58" s="24">
        <v>19.8</v>
      </c>
      <c r="G58" s="24">
        <v>19.75</v>
      </c>
      <c r="H58" s="24">
        <v>20</v>
      </c>
      <c r="I58" s="24">
        <v>19.75</v>
      </c>
      <c r="J58" s="25">
        <v>2</v>
      </c>
      <c r="K58" s="25">
        <v>10</v>
      </c>
      <c r="L58" s="25">
        <v>245</v>
      </c>
      <c r="M58" s="18">
        <f t="shared" si="2"/>
        <v>345</v>
      </c>
      <c r="N58" s="19">
        <f t="shared" si="3"/>
        <v>45421</v>
      </c>
      <c r="O58" s="18" t="b">
        <f t="shared" si="0"/>
        <v>0</v>
      </c>
      <c r="P58" s="43" t="str">
        <f>IF(O58,swap_curve!$B$19,"")</f>
        <v/>
      </c>
      <c r="Q58" t="str">
        <f t="shared" si="4"/>
        <v/>
      </c>
      <c r="R58" t="str" cm="1">
        <f t="array" ref="R58">IF(O58,BSCall(swap_curve!$B$20,imvol!M58,imvol!P58,imvol!Q58,YEARFRAC(swap_curve!$C$1,imvol!N58)),"")</f>
        <v/>
      </c>
      <c r="S58" s="20" t="str">
        <f t="shared" si="1"/>
        <v/>
      </c>
    </row>
    <row r="59" spans="1:19" x14ac:dyDescent="0.3">
      <c r="A59" s="23" t="s">
        <v>748</v>
      </c>
      <c r="B59" s="23" t="s">
        <v>749</v>
      </c>
      <c r="C59" s="24">
        <v>17.149999999999999</v>
      </c>
      <c r="D59" s="24">
        <v>2.5499999999999998</v>
      </c>
      <c r="E59" s="24">
        <v>17.5</v>
      </c>
      <c r="F59" s="24">
        <v>17.5</v>
      </c>
      <c r="G59" s="24">
        <v>17.149999999999999</v>
      </c>
      <c r="H59" s="24">
        <v>3</v>
      </c>
      <c r="I59" s="24">
        <v>17.149999999999999</v>
      </c>
      <c r="J59" s="25">
        <v>8</v>
      </c>
      <c r="K59" s="25">
        <v>35</v>
      </c>
      <c r="L59" s="25">
        <v>521</v>
      </c>
      <c r="M59" s="18">
        <f t="shared" si="2"/>
        <v>347.5</v>
      </c>
      <c r="N59" s="19">
        <f t="shared" si="3"/>
        <v>45421</v>
      </c>
      <c r="O59" s="18" t="b">
        <f t="shared" si="0"/>
        <v>0</v>
      </c>
      <c r="P59" s="43" t="str">
        <f>IF(O59,swap_curve!$B$19,"")</f>
        <v/>
      </c>
      <c r="Q59" t="str">
        <f t="shared" si="4"/>
        <v/>
      </c>
      <c r="R59" t="str" cm="1">
        <f t="array" ref="R59">IF(O59,BSCall(swap_curve!$B$20,imvol!M59,imvol!P59,imvol!Q59,YEARFRAC(swap_curve!$C$1,imvol!N59)),"")</f>
        <v/>
      </c>
      <c r="S59" s="20" t="str">
        <f t="shared" si="1"/>
        <v/>
      </c>
    </row>
    <row r="60" spans="1:19" x14ac:dyDescent="0.3">
      <c r="A60" s="23" t="s">
        <v>82</v>
      </c>
      <c r="B60" s="23" t="s">
        <v>83</v>
      </c>
      <c r="C60" s="24">
        <v>14.75</v>
      </c>
      <c r="D60" s="24">
        <v>2.75</v>
      </c>
      <c r="E60" s="24">
        <v>14.7</v>
      </c>
      <c r="F60" s="24">
        <v>15.05</v>
      </c>
      <c r="G60" s="24">
        <v>14.05</v>
      </c>
      <c r="H60" s="24">
        <v>3</v>
      </c>
      <c r="I60" s="24">
        <v>14.75</v>
      </c>
      <c r="J60" s="25">
        <v>33</v>
      </c>
      <c r="K60" s="25">
        <v>119</v>
      </c>
      <c r="L60" s="25">
        <v>1973</v>
      </c>
      <c r="M60" s="18">
        <f t="shared" si="2"/>
        <v>350</v>
      </c>
      <c r="N60" s="19">
        <f t="shared" si="3"/>
        <v>45421</v>
      </c>
      <c r="O60" s="18" t="b">
        <f t="shared" si="0"/>
        <v>0</v>
      </c>
      <c r="P60" s="43" t="str">
        <f>IF(O60,swap_curve!$B$19,"")</f>
        <v/>
      </c>
      <c r="Q60" t="str">
        <f t="shared" si="4"/>
        <v/>
      </c>
      <c r="R60" t="str" cm="1">
        <f t="array" ref="R60">IF(O60,BSCall(swap_curve!$B$20,imvol!M60,imvol!P60,imvol!Q60,YEARFRAC(swap_curve!$C$1,imvol!N60)),"")</f>
        <v/>
      </c>
      <c r="S60" s="20" t="str">
        <f t="shared" si="1"/>
        <v/>
      </c>
    </row>
    <row r="61" spans="1:19" x14ac:dyDescent="0.3">
      <c r="A61" s="23" t="s">
        <v>750</v>
      </c>
      <c r="B61" s="23" t="s">
        <v>751</v>
      </c>
      <c r="C61" s="24">
        <v>12.55</v>
      </c>
      <c r="D61" s="24">
        <v>2.4500000000000002</v>
      </c>
      <c r="E61" s="24">
        <v>12.5</v>
      </c>
      <c r="F61" s="24">
        <v>13.1</v>
      </c>
      <c r="G61" s="24">
        <v>11.9</v>
      </c>
      <c r="H61" s="24">
        <v>12</v>
      </c>
      <c r="I61" s="24">
        <v>12.55</v>
      </c>
      <c r="J61" s="25">
        <v>55</v>
      </c>
      <c r="K61" s="25">
        <v>170</v>
      </c>
      <c r="L61" s="25">
        <v>2118</v>
      </c>
      <c r="M61" s="18">
        <f t="shared" si="2"/>
        <v>352.5</v>
      </c>
      <c r="N61" s="19">
        <f t="shared" si="3"/>
        <v>45421</v>
      </c>
      <c r="O61" s="18" t="b">
        <f t="shared" si="0"/>
        <v>0</v>
      </c>
      <c r="P61" s="43" t="str">
        <f>IF(O61,swap_curve!$B$19,"")</f>
        <v/>
      </c>
      <c r="Q61" t="str">
        <f t="shared" si="4"/>
        <v/>
      </c>
      <c r="R61" t="str" cm="1">
        <f t="array" ref="R61">IF(O61,BSCall(swap_curve!$B$20,imvol!M61,imvol!P61,imvol!Q61,YEARFRAC(swap_curve!$C$1,imvol!N61)),"")</f>
        <v/>
      </c>
      <c r="S61" s="20" t="str">
        <f t="shared" si="1"/>
        <v/>
      </c>
    </row>
    <row r="62" spans="1:19" x14ac:dyDescent="0.3">
      <c r="A62" s="23" t="s">
        <v>84</v>
      </c>
      <c r="B62" s="23" t="s">
        <v>85</v>
      </c>
      <c r="C62" s="24">
        <v>10.55</v>
      </c>
      <c r="D62" s="24">
        <v>2.2999999999999998</v>
      </c>
      <c r="E62" s="24">
        <v>10.25</v>
      </c>
      <c r="F62" s="24">
        <v>11</v>
      </c>
      <c r="G62" s="24">
        <v>9.33</v>
      </c>
      <c r="H62" s="24">
        <v>15</v>
      </c>
      <c r="I62" s="24">
        <v>10.55</v>
      </c>
      <c r="J62" s="25">
        <v>608</v>
      </c>
      <c r="K62" s="25">
        <v>1563</v>
      </c>
      <c r="L62" s="25">
        <v>5393</v>
      </c>
      <c r="M62" s="18">
        <f t="shared" si="2"/>
        <v>355</v>
      </c>
      <c r="N62" s="19">
        <f t="shared" si="3"/>
        <v>45421</v>
      </c>
      <c r="O62" s="18" t="b">
        <f t="shared" si="0"/>
        <v>1</v>
      </c>
      <c r="P62" s="43">
        <f>IF(O62,swap_curve!$B$19,"")</f>
        <v>3.5699999999999996E-2</v>
      </c>
      <c r="Q62">
        <v>0.31305968789667477</v>
      </c>
      <c r="R62" cm="1">
        <f t="array" ref="R62">IF(O62,BSCall(swap_curve!$B$20,imvol!M62,imvol!P62,imvol!Q62,YEARFRAC(swap_curve!$C$1,imvol!N62)),"")</f>
        <v>10.542517312669872</v>
      </c>
      <c r="S62" s="20">
        <f>IF(O62,R62-C62,"")</f>
        <v>-7.482687330128357E-3</v>
      </c>
    </row>
    <row r="63" spans="1:19" x14ac:dyDescent="0.3">
      <c r="A63" s="23" t="s">
        <v>752</v>
      </c>
      <c r="B63" s="23" t="s">
        <v>753</v>
      </c>
      <c r="C63" s="24">
        <v>8.49</v>
      </c>
      <c r="D63" s="24">
        <v>1.88</v>
      </c>
      <c r="E63" s="24">
        <v>8</v>
      </c>
      <c r="F63" s="24">
        <v>8.99</v>
      </c>
      <c r="G63" s="24">
        <v>7.47</v>
      </c>
      <c r="H63" s="24">
        <v>15</v>
      </c>
      <c r="I63" s="24">
        <v>8.49</v>
      </c>
      <c r="J63" s="25">
        <v>830</v>
      </c>
      <c r="K63" s="25">
        <v>1695</v>
      </c>
      <c r="L63" s="25">
        <v>2750</v>
      </c>
      <c r="M63" s="18">
        <f t="shared" si="2"/>
        <v>357.5</v>
      </c>
      <c r="N63" s="19">
        <f t="shared" si="3"/>
        <v>45421</v>
      </c>
      <c r="O63" s="18" t="b">
        <f t="shared" si="0"/>
        <v>1</v>
      </c>
      <c r="P63" s="43">
        <f>IF(O63,swap_curve!$B$19,"")</f>
        <v>3.5699999999999996E-2</v>
      </c>
      <c r="Q63">
        <v>0.32176261701802639</v>
      </c>
      <c r="R63" cm="1">
        <f t="array" ref="R63">IF(O63,BSCall(swap_curve!$B$20,imvol!M63,imvol!P63,imvol!Q63,YEARFRAC(swap_curve!$C$1,imvol!N63)),"")</f>
        <v>8.4831193044711881</v>
      </c>
      <c r="S63" s="20">
        <f t="shared" ref="S63:S126" si="5">IF(O63,R63-C63,"")</f>
        <v>-6.8806955288120975E-3</v>
      </c>
    </row>
    <row r="64" spans="1:19" x14ac:dyDescent="0.3">
      <c r="A64" s="23" t="s">
        <v>86</v>
      </c>
      <c r="B64" s="23" t="s">
        <v>87</v>
      </c>
      <c r="C64" s="24">
        <v>6.67</v>
      </c>
      <c r="D64" s="24">
        <v>1.62</v>
      </c>
      <c r="E64" s="24">
        <v>6.44</v>
      </c>
      <c r="F64" s="24">
        <v>7.2</v>
      </c>
      <c r="G64" s="24">
        <v>5.85</v>
      </c>
      <c r="H64" s="24">
        <v>15</v>
      </c>
      <c r="I64" s="24">
        <v>6.67</v>
      </c>
      <c r="J64" s="25">
        <v>3495</v>
      </c>
      <c r="K64" s="25">
        <v>5716</v>
      </c>
      <c r="L64" s="25">
        <v>9226</v>
      </c>
      <c r="M64" s="18">
        <f t="shared" si="2"/>
        <v>360</v>
      </c>
      <c r="N64" s="19">
        <f t="shared" si="3"/>
        <v>45421</v>
      </c>
      <c r="O64" s="18" t="b">
        <f t="shared" si="0"/>
        <v>1</v>
      </c>
      <c r="P64" s="43">
        <f>IF(O64,swap_curve!$B$19,"")</f>
        <v>3.5699999999999996E-2</v>
      </c>
      <c r="Q64">
        <v>0.33121807537038433</v>
      </c>
      <c r="R64" cm="1">
        <f t="array" ref="R64">IF(O64,BSCall(swap_curve!$B$20,imvol!M64,imvol!P64,imvol!Q64,YEARFRAC(swap_curve!$C$1,imvol!N64)),"")</f>
        <v>6.6638916701989785</v>
      </c>
      <c r="S64" s="20">
        <f t="shared" si="5"/>
        <v>-6.1083298010213838E-3</v>
      </c>
    </row>
    <row r="65" spans="1:19" x14ac:dyDescent="0.3">
      <c r="A65" s="23" t="s">
        <v>754</v>
      </c>
      <c r="B65" s="23" t="s">
        <v>755</v>
      </c>
      <c r="C65" s="24">
        <v>5.15</v>
      </c>
      <c r="D65" s="24">
        <v>1.25</v>
      </c>
      <c r="E65" s="24">
        <v>4.95</v>
      </c>
      <c r="F65" s="24">
        <v>5.54</v>
      </c>
      <c r="G65" s="24">
        <v>4.4400000000000004</v>
      </c>
      <c r="H65" s="24">
        <v>15.3</v>
      </c>
      <c r="I65" s="24">
        <v>5.15</v>
      </c>
      <c r="J65" s="25">
        <v>6243</v>
      </c>
      <c r="K65" s="25">
        <v>7797</v>
      </c>
      <c r="L65" s="25">
        <v>7041</v>
      </c>
      <c r="M65" s="18">
        <f t="shared" si="2"/>
        <v>362.5</v>
      </c>
      <c r="N65" s="19">
        <f t="shared" si="3"/>
        <v>45421</v>
      </c>
      <c r="O65" s="18" t="b">
        <f t="shared" si="0"/>
        <v>1</v>
      </c>
      <c r="P65" s="43">
        <f>IF(O65,swap_curve!$B$19,"")</f>
        <v>3.5699999999999996E-2</v>
      </c>
      <c r="Q65">
        <v>0.34380066017593053</v>
      </c>
      <c r="R65" cm="1">
        <f t="array" ref="R65">IF(O65,BSCall(swap_curve!$B$20,imvol!M65,imvol!P65,imvol!Q65,YEARFRAC(swap_curve!$C$1,imvol!N65)),"")</f>
        <v>5.144771626429673</v>
      </c>
      <c r="S65" s="20">
        <f t="shared" si="5"/>
        <v>-5.2283735703273493E-3</v>
      </c>
    </row>
    <row r="66" spans="1:19" x14ac:dyDescent="0.3">
      <c r="A66" s="23" t="s">
        <v>88</v>
      </c>
      <c r="B66" s="23" t="s">
        <v>89</v>
      </c>
      <c r="C66" s="24">
        <v>3.75</v>
      </c>
      <c r="D66" s="24">
        <v>0.88</v>
      </c>
      <c r="E66" s="24">
        <v>3.66</v>
      </c>
      <c r="F66" s="24">
        <v>4.1500000000000004</v>
      </c>
      <c r="G66" s="24">
        <v>3.27</v>
      </c>
      <c r="H66" s="24">
        <v>15</v>
      </c>
      <c r="I66" s="24">
        <v>3.75</v>
      </c>
      <c r="J66" s="25">
        <v>19654</v>
      </c>
      <c r="K66" s="25">
        <v>18508</v>
      </c>
      <c r="L66" s="25">
        <v>12473</v>
      </c>
      <c r="M66" s="18">
        <f t="shared" si="2"/>
        <v>365</v>
      </c>
      <c r="N66" s="19">
        <f t="shared" si="3"/>
        <v>45421</v>
      </c>
      <c r="O66" s="18" t="b">
        <f t="shared" ref="O66:O129" si="6">IF(J66&gt;100, TRUE,FALSE)</f>
        <v>1</v>
      </c>
      <c r="P66" s="43">
        <f>IF(O66,swap_curve!$B$19,"")</f>
        <v>3.5699999999999996E-2</v>
      </c>
      <c r="Q66">
        <v>0.34181112927454865</v>
      </c>
      <c r="R66" cm="1">
        <f t="array" ref="R66">IF(O66,BSCall(swap_curve!$B$20,imvol!M66,imvol!P66,imvol!Q66,YEARFRAC(swap_curve!$C$1,imvol!N66)),"")</f>
        <v>3.7456567916691483</v>
      </c>
      <c r="S66" s="20">
        <f t="shared" si="5"/>
        <v>-4.3432083308516667E-3</v>
      </c>
    </row>
    <row r="67" spans="1:19" x14ac:dyDescent="0.3">
      <c r="A67" s="23" t="s">
        <v>756</v>
      </c>
      <c r="B67" s="23" t="s">
        <v>757</v>
      </c>
      <c r="C67" s="24">
        <v>2.75</v>
      </c>
      <c r="D67" s="24">
        <v>0.75</v>
      </c>
      <c r="E67" s="24">
        <v>2.65</v>
      </c>
      <c r="F67" s="24">
        <v>3.01</v>
      </c>
      <c r="G67" s="24">
        <v>2.34</v>
      </c>
      <c r="H67" s="24">
        <v>15.4</v>
      </c>
      <c r="I67" s="24">
        <v>2.75</v>
      </c>
      <c r="J67" s="25">
        <v>38711</v>
      </c>
      <c r="K67" s="25">
        <v>26180</v>
      </c>
      <c r="L67" s="25">
        <v>12569</v>
      </c>
      <c r="M67" s="18">
        <f t="shared" ref="M67:M130" si="7">VALUE(RIGHT(B67, 6))</f>
        <v>367.5</v>
      </c>
      <c r="N67" s="19">
        <f t="shared" ref="N67:N130" si="8">DATE(VALUE(LEFT(MID(B67,10,6),4)),VALUE(RIGHT(MID(B67,10,6),2)),1)+MOD(5-WEEKDAY(DATE(VALUE(LEFT(MID(B67,10,6),4)),VALUE(RIGHT(MID(B67,10,6),2)),1)),7)+7</f>
        <v>45421</v>
      </c>
      <c r="O67" s="18" t="b">
        <f t="shared" si="6"/>
        <v>1</v>
      </c>
      <c r="P67" s="43">
        <f>IF(O67,swap_curve!$B$19,"")</f>
        <v>3.5699999999999996E-2</v>
      </c>
      <c r="Q67">
        <v>0.35251650091315062</v>
      </c>
      <c r="R67" cm="1">
        <f t="array" ref="R67">IF(O67,BSCall(swap_curve!$B$20,imvol!M67,imvol!P67,imvol!Q67,YEARFRAC(swap_curve!$C$1,imvol!N67)),"")</f>
        <v>2.7465266691239947</v>
      </c>
      <c r="S67" s="20">
        <f t="shared" si="5"/>
        <v>-3.4733308760053205E-3</v>
      </c>
    </row>
    <row r="68" spans="1:19" x14ac:dyDescent="0.3">
      <c r="A68" s="23" t="s">
        <v>90</v>
      </c>
      <c r="B68" s="23" t="s">
        <v>91</v>
      </c>
      <c r="C68" s="24">
        <v>1.94</v>
      </c>
      <c r="D68" s="24">
        <v>0.5</v>
      </c>
      <c r="E68" s="24">
        <v>1.88</v>
      </c>
      <c r="F68" s="24">
        <v>2.12</v>
      </c>
      <c r="G68" s="24">
        <v>1.61</v>
      </c>
      <c r="H68" s="24">
        <v>15.6</v>
      </c>
      <c r="I68" s="24">
        <v>1.94</v>
      </c>
      <c r="J68" s="25">
        <v>67512</v>
      </c>
      <c r="K68" s="25">
        <v>31821</v>
      </c>
      <c r="L68" s="25">
        <v>26588</v>
      </c>
      <c r="M68" s="18">
        <f t="shared" si="7"/>
        <v>370</v>
      </c>
      <c r="N68" s="19">
        <f t="shared" si="8"/>
        <v>45421</v>
      </c>
      <c r="O68" s="18" t="b">
        <f t="shared" si="6"/>
        <v>1</v>
      </c>
      <c r="P68" s="43">
        <f>IF(O68,swap_curve!$B$19,"")</f>
        <v>3.5699999999999996E-2</v>
      </c>
      <c r="Q68">
        <v>0.35856136286864482</v>
      </c>
      <c r="R68" cm="1">
        <f t="array" ref="R68">IF(O68,BSCall(swap_curve!$B$20,imvol!M68,imvol!P68,imvol!Q68,YEARFRAC(swap_curve!$C$1,imvol!N68)),"")</f>
        <v>1.9373199971103929</v>
      </c>
      <c r="S68" s="20">
        <f t="shared" si="5"/>
        <v>-2.6800028896070138E-3</v>
      </c>
    </row>
    <row r="69" spans="1:19" x14ac:dyDescent="0.3">
      <c r="A69" s="23" t="s">
        <v>758</v>
      </c>
      <c r="B69" s="23" t="s">
        <v>759</v>
      </c>
      <c r="C69" s="24">
        <v>1.3</v>
      </c>
      <c r="D69" s="24">
        <v>0.33</v>
      </c>
      <c r="E69" s="24">
        <v>1.24</v>
      </c>
      <c r="F69" s="24">
        <v>1.44</v>
      </c>
      <c r="G69" s="24">
        <v>1.07</v>
      </c>
      <c r="H69" s="24">
        <v>15.7</v>
      </c>
      <c r="I69" s="24">
        <v>1.3</v>
      </c>
      <c r="J69" s="25">
        <v>72270</v>
      </c>
      <c r="K69" s="25">
        <v>22896</v>
      </c>
      <c r="L69" s="25">
        <v>17552</v>
      </c>
      <c r="M69" s="18">
        <f t="shared" si="7"/>
        <v>372.5</v>
      </c>
      <c r="N69" s="19">
        <f t="shared" si="8"/>
        <v>45421</v>
      </c>
      <c r="O69" s="18" t="b">
        <f t="shared" si="6"/>
        <v>1</v>
      </c>
      <c r="P69" s="43">
        <f>IF(O69,swap_curve!$B$19,"")</f>
        <v>3.5699999999999996E-2</v>
      </c>
      <c r="Q69">
        <v>0.36022206483042402</v>
      </c>
      <c r="R69" cm="1">
        <f t="array" ref="R69">IF(O69,BSCall(swap_curve!$B$20,imvol!M69,imvol!P69,imvol!Q69,YEARFRAC(swap_curve!$C$1,imvol!N69)),"")</f>
        <v>1.2980199846863627</v>
      </c>
      <c r="S69" s="20">
        <f t="shared" si="5"/>
        <v>-1.98001531363734E-3</v>
      </c>
    </row>
    <row r="70" spans="1:19" x14ac:dyDescent="0.3">
      <c r="A70" s="23" t="s">
        <v>92</v>
      </c>
      <c r="B70" s="23" t="s">
        <v>93</v>
      </c>
      <c r="C70" s="24">
        <v>0.84</v>
      </c>
      <c r="D70" s="24">
        <v>0.2</v>
      </c>
      <c r="E70" s="24">
        <v>0.83</v>
      </c>
      <c r="F70" s="24">
        <v>0.95</v>
      </c>
      <c r="G70" s="24">
        <v>0.69</v>
      </c>
      <c r="H70" s="24">
        <v>15.8</v>
      </c>
      <c r="I70" s="24">
        <v>0.84</v>
      </c>
      <c r="J70" s="25">
        <v>76318</v>
      </c>
      <c r="K70" s="25">
        <v>15772</v>
      </c>
      <c r="L70" s="25">
        <v>20631</v>
      </c>
      <c r="M70" s="18">
        <f t="shared" si="7"/>
        <v>375</v>
      </c>
      <c r="N70" s="19">
        <f t="shared" si="8"/>
        <v>45421</v>
      </c>
      <c r="O70" s="18" t="b">
        <f t="shared" si="6"/>
        <v>1</v>
      </c>
      <c r="P70" s="43">
        <f>IF(O70,swap_curve!$B$19,"")</f>
        <v>3.5699999999999996E-2</v>
      </c>
      <c r="Q70">
        <v>0.36171791545564241</v>
      </c>
      <c r="R70" cm="1">
        <f t="array" ref="R70">IF(O70,BSCall(swap_curve!$B$20,imvol!M70,imvol!P70,imvol!Q70,YEARFRAC(swap_curve!$C$1,imvol!N70)),"")</f>
        <v>0.83859731304808349</v>
      </c>
      <c r="S70" s="20">
        <f t="shared" si="5"/>
        <v>-1.4026869519164764E-3</v>
      </c>
    </row>
    <row r="71" spans="1:19" x14ac:dyDescent="0.3">
      <c r="A71" s="23" t="s">
        <v>760</v>
      </c>
      <c r="B71" s="23" t="s">
        <v>761</v>
      </c>
      <c r="C71" s="24">
        <v>0.53</v>
      </c>
      <c r="D71" s="24">
        <v>0.12</v>
      </c>
      <c r="E71" s="24">
        <v>0.53</v>
      </c>
      <c r="F71" s="24">
        <v>0.6</v>
      </c>
      <c r="G71" s="24">
        <v>0.43</v>
      </c>
      <c r="H71" s="24">
        <v>15.9</v>
      </c>
      <c r="I71" s="24">
        <v>0.53</v>
      </c>
      <c r="J71" s="25">
        <v>76398</v>
      </c>
      <c r="K71" s="25">
        <v>9906</v>
      </c>
      <c r="L71" s="25">
        <v>18230</v>
      </c>
      <c r="M71" s="18">
        <f t="shared" si="7"/>
        <v>377.5</v>
      </c>
      <c r="N71" s="19">
        <f t="shared" si="8"/>
        <v>45421</v>
      </c>
      <c r="O71" s="18" t="b">
        <f t="shared" si="6"/>
        <v>1</v>
      </c>
      <c r="P71" s="43">
        <f>IF(O71,swap_curve!$B$19,"")</f>
        <v>3.5699999999999996E-2</v>
      </c>
      <c r="Q71">
        <v>0.36442960713779793</v>
      </c>
      <c r="R71" cm="1">
        <f t="array" ref="R71">IF(O71,BSCall(swap_curve!$B$20,imvol!M71,imvol!P71,imvol!Q71,YEARFRAC(swap_curve!$C$1,imvol!N71)),"")</f>
        <v>0.52903998189175638</v>
      </c>
      <c r="S71" s="20">
        <f t="shared" si="5"/>
        <v>-9.600181082436432E-4</v>
      </c>
    </row>
    <row r="72" spans="1:19" x14ac:dyDescent="0.3">
      <c r="A72" s="23" t="s">
        <v>94</v>
      </c>
      <c r="B72" s="23" t="s">
        <v>95</v>
      </c>
      <c r="C72" s="24">
        <v>0.32</v>
      </c>
      <c r="D72" s="24">
        <v>0.05</v>
      </c>
      <c r="E72" s="24">
        <v>0.35</v>
      </c>
      <c r="F72" s="24">
        <v>0.37</v>
      </c>
      <c r="G72" s="24">
        <v>0.26</v>
      </c>
      <c r="H72" s="24">
        <v>15.9</v>
      </c>
      <c r="I72" s="24">
        <v>0.32</v>
      </c>
      <c r="J72" s="25">
        <v>53576</v>
      </c>
      <c r="K72" s="25">
        <v>4248</v>
      </c>
      <c r="L72" s="25">
        <v>26879</v>
      </c>
      <c r="M72" s="18">
        <f t="shared" si="7"/>
        <v>380</v>
      </c>
      <c r="N72" s="19">
        <f t="shared" si="8"/>
        <v>45421</v>
      </c>
      <c r="O72" s="18" t="b">
        <f t="shared" si="6"/>
        <v>1</v>
      </c>
      <c r="P72" s="43">
        <f>IF(O72,swap_curve!$B$19,"")</f>
        <v>3.5699999999999996E-2</v>
      </c>
      <c r="Q72">
        <v>0.36600648044946948</v>
      </c>
      <c r="R72" cm="1">
        <f t="array" ref="R72">IF(O72,BSCall(swap_curve!$B$20,imvol!M72,imvol!P72,imvol!Q72,YEARFRAC(swap_curve!$C$1,imvol!N72)),"")</f>
        <v>0.31937255342697668</v>
      </c>
      <c r="S72" s="20">
        <f t="shared" si="5"/>
        <v>-6.2744657302332696E-4</v>
      </c>
    </row>
    <row r="73" spans="1:19" x14ac:dyDescent="0.3">
      <c r="A73" s="23" t="s">
        <v>762</v>
      </c>
      <c r="B73" s="23" t="s">
        <v>763</v>
      </c>
      <c r="C73" s="24">
        <v>0.19</v>
      </c>
      <c r="D73" s="24">
        <v>0.02</v>
      </c>
      <c r="E73" s="24">
        <v>0.2</v>
      </c>
      <c r="F73" s="24">
        <v>0.23</v>
      </c>
      <c r="G73" s="24">
        <v>0.16</v>
      </c>
      <c r="H73" s="24">
        <v>16</v>
      </c>
      <c r="I73" s="24">
        <v>0.19</v>
      </c>
      <c r="J73" s="25">
        <v>32515</v>
      </c>
      <c r="K73" s="25">
        <v>1517</v>
      </c>
      <c r="L73" s="25">
        <v>25292</v>
      </c>
      <c r="M73" s="18">
        <f t="shared" si="7"/>
        <v>382.5</v>
      </c>
      <c r="N73" s="19">
        <f t="shared" si="8"/>
        <v>45421</v>
      </c>
      <c r="O73" s="18" t="b">
        <f t="shared" si="6"/>
        <v>1</v>
      </c>
      <c r="P73" s="43">
        <f>IF(O73,swap_curve!$B$19,"")</f>
        <v>3.5699999999999996E-2</v>
      </c>
      <c r="Q73">
        <v>0.36886129118733402</v>
      </c>
      <c r="R73" cm="1">
        <f t="array" ref="R73">IF(O73,BSCall(swap_curve!$B$20,imvol!M73,imvol!P73,imvol!Q73,YEARFRAC(swap_curve!$C$1,imvol!N73)),"")</f>
        <v>0.18960086024023326</v>
      </c>
      <c r="S73" s="20">
        <f t="shared" si="5"/>
        <v>-3.9913975976674232E-4</v>
      </c>
    </row>
    <row r="74" spans="1:19" x14ac:dyDescent="0.3">
      <c r="A74" s="23" t="s">
        <v>96</v>
      </c>
      <c r="B74" s="23" t="s">
        <v>97</v>
      </c>
      <c r="C74" s="24">
        <v>0.12</v>
      </c>
      <c r="D74" s="24">
        <v>0.01</v>
      </c>
      <c r="E74" s="24">
        <v>0.12</v>
      </c>
      <c r="F74" s="24">
        <v>0.14000000000000001</v>
      </c>
      <c r="G74" s="24">
        <v>0.09</v>
      </c>
      <c r="H74" s="24">
        <v>16.399999999999999</v>
      </c>
      <c r="I74" s="24">
        <v>0.12</v>
      </c>
      <c r="J74" s="25">
        <v>15105</v>
      </c>
      <c r="K74" s="25">
        <v>439</v>
      </c>
      <c r="L74" s="25">
        <v>26820</v>
      </c>
      <c r="M74" s="18">
        <f t="shared" si="7"/>
        <v>385</v>
      </c>
      <c r="N74" s="19">
        <f t="shared" si="8"/>
        <v>45421</v>
      </c>
      <c r="O74" s="18" t="b">
        <f t="shared" si="6"/>
        <v>1</v>
      </c>
      <c r="P74" s="43">
        <f>IF(O74,swap_curve!$B$19,"")</f>
        <v>3.5699999999999996E-2</v>
      </c>
      <c r="Q74">
        <v>0.37736554325370553</v>
      </c>
      <c r="R74" cm="1">
        <f t="array" ref="R74">IF(O74,BSCall(swap_curve!$B$20,imvol!M74,imvol!P74,imvol!Q74,YEARFRAC(swap_curve!$C$1,imvol!N74)),"")</f>
        <v>0.11973792269647454</v>
      </c>
      <c r="S74" s="20">
        <f t="shared" si="5"/>
        <v>-2.6207730352545422E-4</v>
      </c>
    </row>
    <row r="75" spans="1:19" x14ac:dyDescent="0.3">
      <c r="A75" s="23" t="s">
        <v>764</v>
      </c>
      <c r="B75" s="23" t="s">
        <v>765</v>
      </c>
      <c r="C75" s="24">
        <v>7.0000000000000007E-2</v>
      </c>
      <c r="D75" s="24">
        <v>0.01</v>
      </c>
      <c r="E75" s="24">
        <v>0.08</v>
      </c>
      <c r="F75" s="24">
        <v>0.09</v>
      </c>
      <c r="G75" s="24">
        <v>0.06</v>
      </c>
      <c r="H75" s="24">
        <v>16.7</v>
      </c>
      <c r="I75" s="24">
        <v>7.0000000000000007E-2</v>
      </c>
      <c r="J75" s="25">
        <v>9760</v>
      </c>
      <c r="K75" s="25">
        <v>174</v>
      </c>
      <c r="L75" s="25">
        <v>18136</v>
      </c>
      <c r="M75" s="18">
        <f t="shared" si="7"/>
        <v>387.5</v>
      </c>
      <c r="N75" s="19">
        <f t="shared" si="8"/>
        <v>45421</v>
      </c>
      <c r="O75" s="18" t="b">
        <f t="shared" si="6"/>
        <v>1</v>
      </c>
      <c r="P75" s="43">
        <f>IF(O75,swap_curve!$B$19,"")</f>
        <v>3.5699999999999996E-2</v>
      </c>
      <c r="Q75">
        <v>0.38153614013536374</v>
      </c>
      <c r="R75" cm="1">
        <f t="array" ref="R75">IF(O75,BSCall(swap_curve!$B$20,imvol!M75,imvol!P75,imvol!Q75,YEARFRAC(swap_curve!$C$1,imvol!N75)),"")</f>
        <v>6.9838869350058452E-2</v>
      </c>
      <c r="S75" s="20">
        <f t="shared" si="5"/>
        <v>-1.6113064994155435E-4</v>
      </c>
    </row>
    <row r="76" spans="1:19" x14ac:dyDescent="0.3">
      <c r="A76" s="23" t="s">
        <v>98</v>
      </c>
      <c r="B76" s="23" t="s">
        <v>99</v>
      </c>
      <c r="C76" s="24">
        <v>0.05</v>
      </c>
      <c r="D76" s="24">
        <v>0.01</v>
      </c>
      <c r="E76" s="24">
        <v>0.04</v>
      </c>
      <c r="F76" s="24">
        <v>0.06</v>
      </c>
      <c r="G76" s="24">
        <v>0.04</v>
      </c>
      <c r="H76" s="24">
        <v>17.3</v>
      </c>
      <c r="I76" s="24">
        <v>0.05</v>
      </c>
      <c r="J76" s="25">
        <v>4324</v>
      </c>
      <c r="K76" s="25">
        <v>52</v>
      </c>
      <c r="L76" s="25">
        <v>21359</v>
      </c>
      <c r="M76" s="18">
        <f t="shared" si="7"/>
        <v>390</v>
      </c>
      <c r="N76" s="19">
        <f t="shared" si="8"/>
        <v>45421</v>
      </c>
      <c r="O76" s="18" t="b">
        <f t="shared" si="6"/>
        <v>1</v>
      </c>
      <c r="P76" s="43">
        <f>IF(O76,swap_curve!$B$19,"")</f>
        <v>3.5699999999999996E-2</v>
      </c>
      <c r="Q76">
        <v>0.39713559341134952</v>
      </c>
      <c r="R76" cm="1">
        <f t="array" ref="R76">IF(O76,BSCall(swap_curve!$B$20,imvol!M76,imvol!P76,imvol!Q76,YEARFRAC(swap_curve!$C$1,imvol!N76)),"")</f>
        <v>4.9884877815874695E-2</v>
      </c>
      <c r="S76" s="20">
        <f t="shared" si="5"/>
        <v>-1.151221841253075E-4</v>
      </c>
    </row>
    <row r="77" spans="1:19" x14ac:dyDescent="0.3">
      <c r="A77" s="23" t="s">
        <v>766</v>
      </c>
      <c r="B77" s="23" t="s">
        <v>767</v>
      </c>
      <c r="C77" s="24">
        <v>0.03</v>
      </c>
      <c r="D77" s="24">
        <v>0</v>
      </c>
      <c r="E77" s="24">
        <v>0.03</v>
      </c>
      <c r="F77" s="24">
        <v>0.04</v>
      </c>
      <c r="G77" s="24">
        <v>0.03</v>
      </c>
      <c r="H77" s="24">
        <v>17.7</v>
      </c>
      <c r="I77" s="24">
        <v>0.03</v>
      </c>
      <c r="J77" s="25">
        <v>3030</v>
      </c>
      <c r="K77" s="25">
        <v>23</v>
      </c>
      <c r="L77" s="25">
        <v>12908</v>
      </c>
      <c r="M77" s="18">
        <f t="shared" si="7"/>
        <v>392.5</v>
      </c>
      <c r="N77" s="19">
        <f t="shared" si="8"/>
        <v>45421</v>
      </c>
      <c r="O77" s="18" t="b">
        <f t="shared" si="6"/>
        <v>1</v>
      </c>
      <c r="P77" s="43">
        <f>IF(O77,swap_curve!$B$19,"")</f>
        <v>3.5699999999999996E-2</v>
      </c>
      <c r="Q77">
        <v>0.40311937201271286</v>
      </c>
      <c r="R77" cm="1">
        <f t="array" ref="R77">IF(O77,BSCall(swap_curve!$B$20,imvol!M77,imvol!P77,imvol!Q77,YEARFRAC(swap_curve!$C$1,imvol!N77)),"")</f>
        <v>2.9928379399728922E-2</v>
      </c>
      <c r="S77" s="20">
        <f t="shared" si="5"/>
        <v>-7.1620600271077306E-5</v>
      </c>
    </row>
    <row r="78" spans="1:19" x14ac:dyDescent="0.3">
      <c r="A78" s="23" t="s">
        <v>100</v>
      </c>
      <c r="B78" s="23" t="s">
        <v>101</v>
      </c>
      <c r="C78" s="24">
        <v>0.03</v>
      </c>
      <c r="D78" s="24">
        <v>0</v>
      </c>
      <c r="E78" s="24">
        <v>0.03</v>
      </c>
      <c r="F78" s="24">
        <v>0.03</v>
      </c>
      <c r="G78" s="24">
        <v>0.02</v>
      </c>
      <c r="H78" s="24">
        <v>19.100000000000001</v>
      </c>
      <c r="I78" s="24">
        <v>0.03</v>
      </c>
      <c r="J78" s="25">
        <v>662</v>
      </c>
      <c r="K78" s="25">
        <v>4</v>
      </c>
      <c r="L78" s="25">
        <v>14652</v>
      </c>
      <c r="M78" s="18">
        <f t="shared" si="7"/>
        <v>395</v>
      </c>
      <c r="N78" s="19">
        <f t="shared" si="8"/>
        <v>45421</v>
      </c>
      <c r="O78" s="18" t="b">
        <f t="shared" si="6"/>
        <v>1</v>
      </c>
      <c r="P78" s="43">
        <f>IF(O78,swap_curve!$B$19,"")</f>
        <v>3.5699999999999996E-2</v>
      </c>
      <c r="Q78">
        <v>0.43390656304320924</v>
      </c>
      <c r="R78" cm="1">
        <f t="array" ref="R78">IF(O78,BSCall(swap_curve!$B$20,imvol!M78,imvol!P78,imvol!Q78,YEARFRAC(swap_curve!$C$1,imvol!N78)),"")</f>
        <v>2.9932967735892824E-2</v>
      </c>
      <c r="S78" s="20">
        <f t="shared" si="5"/>
        <v>-6.7032264107175221E-5</v>
      </c>
    </row>
    <row r="79" spans="1:19" x14ac:dyDescent="0.3">
      <c r="A79" s="23" t="s">
        <v>768</v>
      </c>
      <c r="B79" s="23" t="s">
        <v>769</v>
      </c>
      <c r="C79" s="24">
        <v>0.01</v>
      </c>
      <c r="D79" s="24">
        <v>0</v>
      </c>
      <c r="E79" s="24">
        <v>0.01</v>
      </c>
      <c r="F79" s="24">
        <v>0.02</v>
      </c>
      <c r="G79" s="24">
        <v>0.01</v>
      </c>
      <c r="H79" s="24">
        <v>18.100000000000001</v>
      </c>
      <c r="I79" s="24">
        <v>0.01</v>
      </c>
      <c r="J79" s="25">
        <v>2042</v>
      </c>
      <c r="K79" s="25">
        <v>6</v>
      </c>
      <c r="L79" s="25">
        <v>11050</v>
      </c>
      <c r="M79" s="18">
        <f t="shared" si="7"/>
        <v>397.5</v>
      </c>
      <c r="N79" s="19">
        <f t="shared" si="8"/>
        <v>45421</v>
      </c>
      <c r="O79" s="18" t="b">
        <f t="shared" si="6"/>
        <v>1</v>
      </c>
      <c r="P79" s="43">
        <f>IF(O79,swap_curve!$B$19,"")</f>
        <v>3.5699999999999996E-2</v>
      </c>
      <c r="Q79">
        <v>0.41270575027154716</v>
      </c>
      <c r="R79" cm="1">
        <f t="array" ref="R79">IF(O79,BSCall(swap_curve!$B$20,imvol!M79,imvol!P79,imvol!Q79,YEARFRAC(swap_curve!$C$1,imvol!N79)),"")</f>
        <v>9.9743156935852006E-3</v>
      </c>
      <c r="S79" s="20">
        <f t="shared" si="5"/>
        <v>-2.568430641479956E-5</v>
      </c>
    </row>
    <row r="80" spans="1:19" x14ac:dyDescent="0.3">
      <c r="A80" s="23" t="s">
        <v>102</v>
      </c>
      <c r="B80" s="23" t="s">
        <v>103</v>
      </c>
      <c r="C80" s="24">
        <v>0.01</v>
      </c>
      <c r="D80" s="24">
        <v>0</v>
      </c>
      <c r="E80" s="24">
        <v>0.01</v>
      </c>
      <c r="F80" s="24">
        <v>0.02</v>
      </c>
      <c r="G80" s="24">
        <v>0.01</v>
      </c>
      <c r="H80" s="24">
        <v>19.3</v>
      </c>
      <c r="I80" s="24">
        <v>0.01</v>
      </c>
      <c r="J80" s="25">
        <v>424</v>
      </c>
      <c r="K80" s="25">
        <v>1</v>
      </c>
      <c r="L80" s="25">
        <v>19687</v>
      </c>
      <c r="M80" s="18">
        <f t="shared" si="7"/>
        <v>400</v>
      </c>
      <c r="N80" s="19">
        <f t="shared" si="8"/>
        <v>45421</v>
      </c>
      <c r="O80" s="18" t="b">
        <f t="shared" si="6"/>
        <v>1</v>
      </c>
      <c r="P80" s="43">
        <f>IF(O80,swap_curve!$B$19,"")</f>
        <v>3.5699999999999996E-2</v>
      </c>
      <c r="Q80">
        <v>0.43992578213702449</v>
      </c>
      <c r="R80" cm="1">
        <f t="array" ref="R80">IF(O80,BSCall(swap_curve!$B$20,imvol!M80,imvol!P80,imvol!Q80,YEARFRAC(swap_curve!$C$1,imvol!N80)),"")</f>
        <v>9.9757830081721455E-3</v>
      </c>
      <c r="S80" s="20">
        <f t="shared" si="5"/>
        <v>-2.4216991827854736E-5</v>
      </c>
    </row>
    <row r="81" spans="1:19" x14ac:dyDescent="0.3">
      <c r="A81" s="23" t="s">
        <v>770</v>
      </c>
      <c r="B81" s="23" t="s">
        <v>771</v>
      </c>
      <c r="C81" s="24">
        <v>0.01</v>
      </c>
      <c r="D81" s="24">
        <v>0</v>
      </c>
      <c r="E81" s="24">
        <v>0.01</v>
      </c>
      <c r="F81" s="24">
        <v>0.01</v>
      </c>
      <c r="G81" s="24">
        <v>0.01</v>
      </c>
      <c r="H81" s="24">
        <v>20.399999999999999</v>
      </c>
      <c r="I81" s="24">
        <v>0.01</v>
      </c>
      <c r="J81" s="25">
        <v>3271</v>
      </c>
      <c r="K81" s="25">
        <v>8</v>
      </c>
      <c r="L81" s="25">
        <v>10203</v>
      </c>
      <c r="M81" s="18">
        <f t="shared" si="7"/>
        <v>402.5</v>
      </c>
      <c r="N81" s="19">
        <f t="shared" si="8"/>
        <v>45421</v>
      </c>
      <c r="O81" s="18" t="b">
        <f t="shared" si="6"/>
        <v>1</v>
      </c>
      <c r="P81" s="43">
        <f>IF(O81,swap_curve!$B$19,"")</f>
        <v>3.5699999999999996E-2</v>
      </c>
      <c r="Q81">
        <v>0.46681285562355868</v>
      </c>
      <c r="R81" cm="1">
        <f t="array" ref="R81">IF(O81,BSCall(swap_curve!$B$20,imvol!M81,imvol!P81,imvol!Q81,YEARFRAC(swap_curve!$C$1,imvol!N81)),"")</f>
        <v>9.9770640465252081E-3</v>
      </c>
      <c r="S81" s="20">
        <f t="shared" si="5"/>
        <v>-2.2935953474792145E-5</v>
      </c>
    </row>
    <row r="82" spans="1:19" x14ac:dyDescent="0.3">
      <c r="A82" s="23" t="s">
        <v>104</v>
      </c>
      <c r="B82" s="23" t="s">
        <v>105</v>
      </c>
      <c r="C82" s="24">
        <v>0.01</v>
      </c>
      <c r="D82" s="24">
        <v>0</v>
      </c>
      <c r="E82" s="24">
        <v>0.01</v>
      </c>
      <c r="F82" s="24">
        <v>0.01</v>
      </c>
      <c r="G82" s="24">
        <v>0.01</v>
      </c>
      <c r="H82" s="24">
        <v>21.7</v>
      </c>
      <c r="I82" s="24">
        <v>0.01</v>
      </c>
      <c r="J82" s="25">
        <v>45</v>
      </c>
      <c r="K82" s="25">
        <v>0</v>
      </c>
      <c r="L82" s="25">
        <v>17176</v>
      </c>
      <c r="M82" s="18">
        <f t="shared" si="7"/>
        <v>405</v>
      </c>
      <c r="N82" s="19">
        <f t="shared" si="8"/>
        <v>45421</v>
      </c>
      <c r="O82" s="18" t="b">
        <f t="shared" si="6"/>
        <v>0</v>
      </c>
      <c r="P82" s="43" t="str">
        <f>IF(O82,swap_curve!$B$19,"")</f>
        <v/>
      </c>
      <c r="Q82" t="str">
        <f t="shared" ref="Q82:Q130" si="9">IF(O82,H82%,"")</f>
        <v/>
      </c>
      <c r="R82" t="str" cm="1">
        <f t="array" ref="R82">IF(O82,BSCall(swap_curve!$B$20,imvol!M82,imvol!P82,imvol!Q82,YEARFRAC(swap_curve!$C$1,imvol!N82)),"")</f>
        <v/>
      </c>
      <c r="S82" s="20" t="str">
        <f t="shared" si="5"/>
        <v/>
      </c>
    </row>
    <row r="83" spans="1:19" x14ac:dyDescent="0.3">
      <c r="A83" s="23" t="s">
        <v>772</v>
      </c>
      <c r="B83" s="23" t="s">
        <v>773</v>
      </c>
      <c r="C83" s="24">
        <v>0.01</v>
      </c>
      <c r="D83" s="24">
        <v>0</v>
      </c>
      <c r="E83" s="24">
        <v>0.01</v>
      </c>
      <c r="F83" s="24">
        <v>0.01</v>
      </c>
      <c r="G83" s="24">
        <v>0.01</v>
      </c>
      <c r="H83" s="24">
        <v>22.9</v>
      </c>
      <c r="I83" s="24">
        <v>0.01</v>
      </c>
      <c r="J83" s="25">
        <v>50</v>
      </c>
      <c r="K83" s="25">
        <v>0</v>
      </c>
      <c r="L83" s="25">
        <v>9532</v>
      </c>
      <c r="M83" s="18">
        <f t="shared" si="7"/>
        <v>407.5</v>
      </c>
      <c r="N83" s="19">
        <f t="shared" si="8"/>
        <v>45421</v>
      </c>
      <c r="O83" s="18" t="b">
        <f t="shared" si="6"/>
        <v>0</v>
      </c>
      <c r="P83" s="43" t="str">
        <f>IF(O83,swap_curve!$B$19,"")</f>
        <v/>
      </c>
      <c r="Q83" t="str">
        <f t="shared" si="9"/>
        <v/>
      </c>
      <c r="R83" t="str" cm="1">
        <f t="array" ref="R83">IF(O83,BSCall(swap_curve!$B$20,imvol!M83,imvol!P83,imvol!Q83,YEARFRAC(swap_curve!$C$1,imvol!N83)),"")</f>
        <v/>
      </c>
      <c r="S83" s="20" t="str">
        <f t="shared" si="5"/>
        <v/>
      </c>
    </row>
    <row r="84" spans="1:19" x14ac:dyDescent="0.3">
      <c r="A84" s="23" t="s">
        <v>106</v>
      </c>
      <c r="B84" s="23" t="s">
        <v>107</v>
      </c>
      <c r="C84" s="24" t="s">
        <v>23</v>
      </c>
      <c r="D84" s="24" t="s">
        <v>23</v>
      </c>
      <c r="E84" s="24" t="s">
        <v>23</v>
      </c>
      <c r="F84" s="24" t="s">
        <v>23</v>
      </c>
      <c r="G84" s="24" t="s">
        <v>23</v>
      </c>
      <c r="H84" s="24">
        <v>24.8</v>
      </c>
      <c r="I84" s="24">
        <v>0.01</v>
      </c>
      <c r="J84" s="25">
        <v>0</v>
      </c>
      <c r="K84" s="25">
        <v>0</v>
      </c>
      <c r="L84" s="25">
        <v>9542</v>
      </c>
      <c r="M84" s="18">
        <f t="shared" si="7"/>
        <v>410</v>
      </c>
      <c r="N84" s="19">
        <f t="shared" si="8"/>
        <v>45421</v>
      </c>
      <c r="O84" s="18" t="b">
        <f t="shared" si="6"/>
        <v>0</v>
      </c>
      <c r="P84" s="43" t="str">
        <f>IF(O84,swap_curve!$B$19,"")</f>
        <v/>
      </c>
      <c r="Q84" t="str">
        <f t="shared" si="9"/>
        <v/>
      </c>
      <c r="R84" t="str" cm="1">
        <f t="array" ref="R84">IF(O84,BSCall(swap_curve!$B$20,imvol!M84,imvol!P84,imvol!Q84,YEARFRAC(swap_curve!$C$1,imvol!N84)),"")</f>
        <v/>
      </c>
      <c r="S84" s="20" t="str">
        <f t="shared" si="5"/>
        <v/>
      </c>
    </row>
    <row r="85" spans="1:19" x14ac:dyDescent="0.3">
      <c r="A85" s="23" t="s">
        <v>774</v>
      </c>
      <c r="B85" s="23" t="s">
        <v>775</v>
      </c>
      <c r="C85" s="24">
        <v>0.01</v>
      </c>
      <c r="D85" s="24">
        <v>0</v>
      </c>
      <c r="E85" s="24">
        <v>0.01</v>
      </c>
      <c r="F85" s="24">
        <v>0.01</v>
      </c>
      <c r="G85" s="24">
        <v>0.01</v>
      </c>
      <c r="H85" s="24">
        <v>26.7</v>
      </c>
      <c r="I85" s="24">
        <v>0.01</v>
      </c>
      <c r="J85" s="25">
        <v>1</v>
      </c>
      <c r="K85" s="25">
        <v>0</v>
      </c>
      <c r="L85" s="25">
        <v>6917</v>
      </c>
      <c r="M85" s="18">
        <f t="shared" si="7"/>
        <v>412.5</v>
      </c>
      <c r="N85" s="19">
        <f t="shared" si="8"/>
        <v>45421</v>
      </c>
      <c r="O85" s="18" t="b">
        <f t="shared" si="6"/>
        <v>0</v>
      </c>
      <c r="P85" s="43" t="str">
        <f>IF(O85,swap_curve!$B$19,"")</f>
        <v/>
      </c>
      <c r="Q85" t="str">
        <f t="shared" si="9"/>
        <v/>
      </c>
      <c r="R85" t="str" cm="1">
        <f t="array" ref="R85">IF(O85,BSCall(swap_curve!$B$20,imvol!M85,imvol!P85,imvol!Q85,YEARFRAC(swap_curve!$C$1,imvol!N85)),"")</f>
        <v/>
      </c>
      <c r="S85" s="20" t="str">
        <f t="shared" si="5"/>
        <v/>
      </c>
    </row>
    <row r="86" spans="1:19" x14ac:dyDescent="0.3">
      <c r="A86" s="23" t="s">
        <v>108</v>
      </c>
      <c r="B86" s="23" t="s">
        <v>109</v>
      </c>
      <c r="C86" s="24" t="s">
        <v>23</v>
      </c>
      <c r="D86" s="24" t="s">
        <v>23</v>
      </c>
      <c r="E86" s="24" t="s">
        <v>23</v>
      </c>
      <c r="F86" s="24" t="s">
        <v>23</v>
      </c>
      <c r="G86" s="24" t="s">
        <v>23</v>
      </c>
      <c r="H86" s="24">
        <v>27.05</v>
      </c>
      <c r="I86" s="24">
        <v>0.01</v>
      </c>
      <c r="J86" s="25">
        <v>0</v>
      </c>
      <c r="K86" s="25">
        <v>0</v>
      </c>
      <c r="L86" s="25">
        <v>7897</v>
      </c>
      <c r="M86" s="18">
        <f t="shared" si="7"/>
        <v>415</v>
      </c>
      <c r="N86" s="19">
        <f t="shared" si="8"/>
        <v>45421</v>
      </c>
      <c r="O86" s="18" t="b">
        <f t="shared" si="6"/>
        <v>0</v>
      </c>
      <c r="P86" s="43" t="str">
        <f>IF(O86,swap_curve!$B$19,"")</f>
        <v/>
      </c>
      <c r="Q86" t="str">
        <f t="shared" si="9"/>
        <v/>
      </c>
      <c r="R86" t="str" cm="1">
        <f t="array" ref="R86">IF(O86,BSCall(swap_curve!$B$20,imvol!M86,imvol!P86,imvol!Q86,YEARFRAC(swap_curve!$C$1,imvol!N86)),"")</f>
        <v/>
      </c>
      <c r="S86" s="20" t="str">
        <f t="shared" si="5"/>
        <v/>
      </c>
    </row>
    <row r="87" spans="1:19" x14ac:dyDescent="0.3">
      <c r="A87" s="23" t="s">
        <v>776</v>
      </c>
      <c r="B87" s="23" t="s">
        <v>777</v>
      </c>
      <c r="C87" s="24">
        <v>0.01</v>
      </c>
      <c r="D87" s="24">
        <v>0</v>
      </c>
      <c r="E87" s="24">
        <v>0.01</v>
      </c>
      <c r="F87" s="24">
        <v>0.01</v>
      </c>
      <c r="G87" s="24">
        <v>0.01</v>
      </c>
      <c r="H87" s="24">
        <v>27.4</v>
      </c>
      <c r="I87" s="24">
        <v>0.01</v>
      </c>
      <c r="J87" s="25">
        <v>1</v>
      </c>
      <c r="K87" s="25">
        <v>0</v>
      </c>
      <c r="L87" s="25">
        <v>4665</v>
      </c>
      <c r="M87" s="18">
        <f t="shared" si="7"/>
        <v>417.5</v>
      </c>
      <c r="N87" s="19">
        <f t="shared" si="8"/>
        <v>45421</v>
      </c>
      <c r="O87" s="18" t="b">
        <f t="shared" si="6"/>
        <v>0</v>
      </c>
      <c r="P87" s="43" t="str">
        <f>IF(O87,swap_curve!$B$19,"")</f>
        <v/>
      </c>
      <c r="Q87" t="str">
        <f t="shared" si="9"/>
        <v/>
      </c>
      <c r="R87" t="str" cm="1">
        <f t="array" ref="R87">IF(O87,BSCall(swap_curve!$B$20,imvol!M87,imvol!P87,imvol!Q87,YEARFRAC(swap_curve!$C$1,imvol!N87)),"")</f>
        <v/>
      </c>
      <c r="S87" s="20" t="str">
        <f t="shared" si="5"/>
        <v/>
      </c>
    </row>
    <row r="88" spans="1:19" x14ac:dyDescent="0.3">
      <c r="A88" s="23" t="s">
        <v>110</v>
      </c>
      <c r="B88" s="23" t="s">
        <v>111</v>
      </c>
      <c r="C88" s="24" t="s">
        <v>23</v>
      </c>
      <c r="D88" s="24" t="s">
        <v>23</v>
      </c>
      <c r="E88" s="24" t="s">
        <v>23</v>
      </c>
      <c r="F88" s="24" t="s">
        <v>23</v>
      </c>
      <c r="G88" s="24" t="s">
        <v>23</v>
      </c>
      <c r="H88" s="24">
        <v>28.36</v>
      </c>
      <c r="I88" s="24">
        <v>0.01</v>
      </c>
      <c r="J88" s="25">
        <v>0</v>
      </c>
      <c r="K88" s="25">
        <v>0</v>
      </c>
      <c r="L88" s="25">
        <v>4800</v>
      </c>
      <c r="M88" s="18">
        <f t="shared" si="7"/>
        <v>420</v>
      </c>
      <c r="N88" s="19">
        <f t="shared" si="8"/>
        <v>45421</v>
      </c>
      <c r="O88" s="18" t="b">
        <f t="shared" si="6"/>
        <v>0</v>
      </c>
      <c r="P88" s="43" t="str">
        <f>IF(O88,swap_curve!$B$19,"")</f>
        <v/>
      </c>
      <c r="Q88" t="str">
        <f t="shared" si="9"/>
        <v/>
      </c>
      <c r="R88" t="str" cm="1">
        <f t="array" ref="R88">IF(O88,BSCall(swap_curve!$B$20,imvol!M88,imvol!P88,imvol!Q88,YEARFRAC(swap_curve!$C$1,imvol!N88)),"")</f>
        <v/>
      </c>
      <c r="S88" s="20" t="str">
        <f t="shared" si="5"/>
        <v/>
      </c>
    </row>
    <row r="89" spans="1:19" x14ac:dyDescent="0.3">
      <c r="A89" s="23" t="s">
        <v>778</v>
      </c>
      <c r="B89" s="23" t="s">
        <v>779</v>
      </c>
      <c r="C89" s="24" t="s">
        <v>23</v>
      </c>
      <c r="D89" s="24" t="s">
        <v>23</v>
      </c>
      <c r="E89" s="24" t="s">
        <v>23</v>
      </c>
      <c r="F89" s="24" t="s">
        <v>23</v>
      </c>
      <c r="G89" s="24" t="s">
        <v>23</v>
      </c>
      <c r="H89" s="24">
        <v>29.33</v>
      </c>
      <c r="I89" s="24">
        <v>0.01</v>
      </c>
      <c r="J89" s="25">
        <v>0</v>
      </c>
      <c r="K89" s="25">
        <v>0</v>
      </c>
      <c r="L89" s="25">
        <v>2096</v>
      </c>
      <c r="M89" s="18">
        <f t="shared" si="7"/>
        <v>422.5</v>
      </c>
      <c r="N89" s="19">
        <f t="shared" si="8"/>
        <v>45421</v>
      </c>
      <c r="O89" s="18" t="b">
        <f t="shared" si="6"/>
        <v>0</v>
      </c>
      <c r="P89" s="43" t="str">
        <f>IF(O89,swap_curve!$B$19,"")</f>
        <v/>
      </c>
      <c r="Q89" t="str">
        <f t="shared" si="9"/>
        <v/>
      </c>
      <c r="R89" t="str" cm="1">
        <f t="array" ref="R89">IF(O89,BSCall(swap_curve!$B$20,imvol!M89,imvol!P89,imvol!Q89,YEARFRAC(swap_curve!$C$1,imvol!N89)),"")</f>
        <v/>
      </c>
      <c r="S89" s="20" t="str">
        <f t="shared" si="5"/>
        <v/>
      </c>
    </row>
    <row r="90" spans="1:19" x14ac:dyDescent="0.3">
      <c r="A90" s="23" t="s">
        <v>112</v>
      </c>
      <c r="B90" s="23" t="s">
        <v>113</v>
      </c>
      <c r="C90" s="24">
        <v>0.01</v>
      </c>
      <c r="D90" s="24">
        <v>0</v>
      </c>
      <c r="E90" s="24">
        <v>0.01</v>
      </c>
      <c r="F90" s="24">
        <v>0.01</v>
      </c>
      <c r="G90" s="24">
        <v>0.01</v>
      </c>
      <c r="H90" s="24">
        <v>30.3</v>
      </c>
      <c r="I90" s="24">
        <v>0.01</v>
      </c>
      <c r="J90" s="25">
        <v>2</v>
      </c>
      <c r="K90" s="25">
        <v>0</v>
      </c>
      <c r="L90" s="25">
        <v>1602</v>
      </c>
      <c r="M90" s="18">
        <f t="shared" si="7"/>
        <v>425</v>
      </c>
      <c r="N90" s="19">
        <f t="shared" si="8"/>
        <v>45421</v>
      </c>
      <c r="O90" s="18" t="b">
        <f t="shared" si="6"/>
        <v>0</v>
      </c>
      <c r="P90" s="43" t="str">
        <f>IF(O90,swap_curve!$B$19,"")</f>
        <v/>
      </c>
      <c r="Q90" t="str">
        <f t="shared" si="9"/>
        <v/>
      </c>
      <c r="R90" t="str" cm="1">
        <f t="array" ref="R90">IF(O90,BSCall(swap_curve!$B$20,imvol!M90,imvol!P90,imvol!Q90,YEARFRAC(swap_curve!$C$1,imvol!N90)),"")</f>
        <v/>
      </c>
      <c r="S90" s="20" t="str">
        <f t="shared" si="5"/>
        <v/>
      </c>
    </row>
    <row r="91" spans="1:19" x14ac:dyDescent="0.3">
      <c r="A91" s="23" t="s">
        <v>780</v>
      </c>
      <c r="B91" s="23" t="s">
        <v>781</v>
      </c>
      <c r="C91" s="24" t="s">
        <v>23</v>
      </c>
      <c r="D91" s="24" t="s">
        <v>23</v>
      </c>
      <c r="E91" s="24" t="s">
        <v>23</v>
      </c>
      <c r="F91" s="24" t="s">
        <v>23</v>
      </c>
      <c r="G91" s="24" t="s">
        <v>23</v>
      </c>
      <c r="H91" s="24">
        <v>31.37</v>
      </c>
      <c r="I91" s="24">
        <v>0.01</v>
      </c>
      <c r="J91" s="25">
        <v>0</v>
      </c>
      <c r="K91" s="25">
        <v>0</v>
      </c>
      <c r="L91" s="25">
        <v>1393</v>
      </c>
      <c r="M91" s="18">
        <f t="shared" si="7"/>
        <v>427.5</v>
      </c>
      <c r="N91" s="19">
        <f t="shared" si="8"/>
        <v>45421</v>
      </c>
      <c r="O91" s="18" t="b">
        <f t="shared" si="6"/>
        <v>0</v>
      </c>
      <c r="P91" s="43" t="str">
        <f>IF(O91,swap_curve!$B$19,"")</f>
        <v/>
      </c>
      <c r="Q91" t="str">
        <f t="shared" si="9"/>
        <v/>
      </c>
      <c r="R91" t="str" cm="1">
        <f t="array" ref="R91">IF(O91,BSCall(swap_curve!$B$20,imvol!M91,imvol!P91,imvol!Q91,YEARFRAC(swap_curve!$C$1,imvol!N91)),"")</f>
        <v/>
      </c>
      <c r="S91" s="20" t="str">
        <f t="shared" si="5"/>
        <v/>
      </c>
    </row>
    <row r="92" spans="1:19" x14ac:dyDescent="0.3">
      <c r="A92" s="23" t="s">
        <v>114</v>
      </c>
      <c r="B92" s="23" t="s">
        <v>115</v>
      </c>
      <c r="C92" s="24" t="s">
        <v>23</v>
      </c>
      <c r="D92" s="24" t="s">
        <v>23</v>
      </c>
      <c r="E92" s="24" t="s">
        <v>23</v>
      </c>
      <c r="F92" s="24" t="s">
        <v>23</v>
      </c>
      <c r="G92" s="24" t="s">
        <v>23</v>
      </c>
      <c r="H92" s="24">
        <v>32.450000000000003</v>
      </c>
      <c r="I92" s="24">
        <v>0.01</v>
      </c>
      <c r="J92" s="25">
        <v>0</v>
      </c>
      <c r="K92" s="25">
        <v>0</v>
      </c>
      <c r="L92" s="25">
        <v>3021</v>
      </c>
      <c r="M92" s="18">
        <f t="shared" si="7"/>
        <v>430</v>
      </c>
      <c r="N92" s="19">
        <f t="shared" si="8"/>
        <v>45421</v>
      </c>
      <c r="O92" s="18" t="b">
        <f t="shared" si="6"/>
        <v>0</v>
      </c>
      <c r="P92" s="43" t="str">
        <f>IF(O92,swap_curve!$B$19,"")</f>
        <v/>
      </c>
      <c r="Q92" t="str">
        <f t="shared" si="9"/>
        <v/>
      </c>
      <c r="R92" t="str" cm="1">
        <f t="array" ref="R92">IF(O92,BSCall(swap_curve!$B$20,imvol!M92,imvol!P92,imvol!Q92,YEARFRAC(swap_curve!$C$1,imvol!N92)),"")</f>
        <v/>
      </c>
      <c r="S92" s="20" t="str">
        <f t="shared" si="5"/>
        <v/>
      </c>
    </row>
    <row r="93" spans="1:19" x14ac:dyDescent="0.3">
      <c r="A93" s="23" t="s">
        <v>782</v>
      </c>
      <c r="B93" s="23" t="s">
        <v>783</v>
      </c>
      <c r="C93" s="24" t="s">
        <v>23</v>
      </c>
      <c r="D93" s="24" t="s">
        <v>23</v>
      </c>
      <c r="E93" s="24" t="s">
        <v>23</v>
      </c>
      <c r="F93" s="24" t="s">
        <v>23</v>
      </c>
      <c r="G93" s="24" t="s">
        <v>23</v>
      </c>
      <c r="H93" s="24">
        <v>33.520000000000003</v>
      </c>
      <c r="I93" s="24">
        <v>0.01</v>
      </c>
      <c r="J93" s="25">
        <v>0</v>
      </c>
      <c r="K93" s="25">
        <v>0</v>
      </c>
      <c r="L93" s="25">
        <v>615</v>
      </c>
      <c r="M93" s="18">
        <f t="shared" si="7"/>
        <v>432.5</v>
      </c>
      <c r="N93" s="19">
        <f t="shared" si="8"/>
        <v>45421</v>
      </c>
      <c r="O93" s="18" t="b">
        <f t="shared" si="6"/>
        <v>0</v>
      </c>
      <c r="P93" s="43" t="str">
        <f>IF(O93,swap_curve!$B$19,"")</f>
        <v/>
      </c>
      <c r="Q93" t="str">
        <f t="shared" si="9"/>
        <v/>
      </c>
      <c r="R93" t="str" cm="1">
        <f t="array" ref="R93">IF(O93,BSCall(swap_curve!$B$20,imvol!M93,imvol!P93,imvol!Q93,YEARFRAC(swap_curve!$C$1,imvol!N93)),"")</f>
        <v/>
      </c>
      <c r="S93" s="20" t="str">
        <f t="shared" si="5"/>
        <v/>
      </c>
    </row>
    <row r="94" spans="1:19" x14ac:dyDescent="0.3">
      <c r="A94" s="23" t="s">
        <v>116</v>
      </c>
      <c r="B94" s="23" t="s">
        <v>117</v>
      </c>
      <c r="C94" s="24">
        <v>0.01</v>
      </c>
      <c r="D94" s="24">
        <v>0</v>
      </c>
      <c r="E94" s="24">
        <v>0.01</v>
      </c>
      <c r="F94" s="24">
        <v>0.01</v>
      </c>
      <c r="G94" s="24">
        <v>0.01</v>
      </c>
      <c r="H94" s="24">
        <v>34.6</v>
      </c>
      <c r="I94" s="24">
        <v>0.01</v>
      </c>
      <c r="J94" s="25">
        <v>1</v>
      </c>
      <c r="K94" s="25">
        <v>0</v>
      </c>
      <c r="L94" s="25">
        <v>836</v>
      </c>
      <c r="M94" s="18">
        <f t="shared" si="7"/>
        <v>435</v>
      </c>
      <c r="N94" s="19">
        <f t="shared" si="8"/>
        <v>45421</v>
      </c>
      <c r="O94" s="18" t="b">
        <f t="shared" si="6"/>
        <v>0</v>
      </c>
      <c r="P94" s="43" t="str">
        <f>IF(O94,swap_curve!$B$19,"")</f>
        <v/>
      </c>
      <c r="Q94" t="str">
        <f t="shared" si="9"/>
        <v/>
      </c>
      <c r="R94" t="str" cm="1">
        <f t="array" ref="R94">IF(O94,BSCall(swap_curve!$B$20,imvol!M94,imvol!P94,imvol!Q94,YEARFRAC(swap_curve!$C$1,imvol!N94)),"")</f>
        <v/>
      </c>
      <c r="S94" s="20" t="str">
        <f t="shared" si="5"/>
        <v/>
      </c>
    </row>
    <row r="95" spans="1:19" x14ac:dyDescent="0.3">
      <c r="A95" s="23" t="s">
        <v>784</v>
      </c>
      <c r="B95" s="23" t="s">
        <v>785</v>
      </c>
      <c r="C95" s="24" t="s">
        <v>23</v>
      </c>
      <c r="D95" s="24" t="s">
        <v>23</v>
      </c>
      <c r="E95" s="24" t="s">
        <v>23</v>
      </c>
      <c r="F95" s="24" t="s">
        <v>23</v>
      </c>
      <c r="G95" s="24" t="s">
        <v>23</v>
      </c>
      <c r="H95" s="24">
        <v>35.68</v>
      </c>
      <c r="I95" s="24">
        <v>0.01</v>
      </c>
      <c r="J95" s="25">
        <v>0</v>
      </c>
      <c r="K95" s="25">
        <v>0</v>
      </c>
      <c r="L95" s="25">
        <v>1017</v>
      </c>
      <c r="M95" s="18">
        <f t="shared" si="7"/>
        <v>437.5</v>
      </c>
      <c r="N95" s="19">
        <f t="shared" si="8"/>
        <v>45421</v>
      </c>
      <c r="O95" s="18" t="b">
        <f t="shared" si="6"/>
        <v>0</v>
      </c>
      <c r="P95" s="43" t="str">
        <f>IF(O95,swap_curve!$B$19,"")</f>
        <v/>
      </c>
      <c r="Q95" t="str">
        <f t="shared" si="9"/>
        <v/>
      </c>
      <c r="R95" t="str" cm="1">
        <f t="array" ref="R95">IF(O95,BSCall(swap_curve!$B$20,imvol!M95,imvol!P95,imvol!Q95,YEARFRAC(swap_curve!$C$1,imvol!N95)),"")</f>
        <v/>
      </c>
      <c r="S95" s="20" t="str">
        <f t="shared" si="5"/>
        <v/>
      </c>
    </row>
    <row r="96" spans="1:19" x14ac:dyDescent="0.3">
      <c r="A96" s="23" t="s">
        <v>118</v>
      </c>
      <c r="B96" s="23" t="s">
        <v>119</v>
      </c>
      <c r="C96" s="24" t="s">
        <v>23</v>
      </c>
      <c r="D96" s="24" t="s">
        <v>23</v>
      </c>
      <c r="E96" s="24" t="s">
        <v>23</v>
      </c>
      <c r="F96" s="24" t="s">
        <v>23</v>
      </c>
      <c r="G96" s="24" t="s">
        <v>23</v>
      </c>
      <c r="H96" s="24">
        <v>36.76</v>
      </c>
      <c r="I96" s="24">
        <v>0.01</v>
      </c>
      <c r="J96" s="25">
        <v>0</v>
      </c>
      <c r="K96" s="25">
        <v>0</v>
      </c>
      <c r="L96" s="25">
        <v>1627</v>
      </c>
      <c r="M96" s="18">
        <f t="shared" si="7"/>
        <v>440</v>
      </c>
      <c r="N96" s="19">
        <f t="shared" si="8"/>
        <v>45421</v>
      </c>
      <c r="O96" s="18" t="b">
        <f t="shared" si="6"/>
        <v>0</v>
      </c>
      <c r="P96" s="43" t="str">
        <f>IF(O96,swap_curve!$B$19,"")</f>
        <v/>
      </c>
      <c r="Q96" t="str">
        <f t="shared" si="9"/>
        <v/>
      </c>
      <c r="R96" t="str" cm="1">
        <f t="array" ref="R96">IF(O96,BSCall(swap_curve!$B$20,imvol!M96,imvol!P96,imvol!Q96,YEARFRAC(swap_curve!$C$1,imvol!N96)),"")</f>
        <v/>
      </c>
      <c r="S96" s="20" t="str">
        <f t="shared" si="5"/>
        <v/>
      </c>
    </row>
    <row r="97" spans="1:19" x14ac:dyDescent="0.3">
      <c r="A97" s="23" t="s">
        <v>786</v>
      </c>
      <c r="B97" s="23" t="s">
        <v>787</v>
      </c>
      <c r="C97" s="24" t="s">
        <v>23</v>
      </c>
      <c r="D97" s="24" t="s">
        <v>23</v>
      </c>
      <c r="E97" s="24" t="s">
        <v>23</v>
      </c>
      <c r="F97" s="24" t="s">
        <v>23</v>
      </c>
      <c r="G97" s="24" t="s">
        <v>23</v>
      </c>
      <c r="H97" s="24">
        <v>37.840000000000003</v>
      </c>
      <c r="I97" s="24">
        <v>0.01</v>
      </c>
      <c r="J97" s="25">
        <v>0</v>
      </c>
      <c r="K97" s="25">
        <v>0</v>
      </c>
      <c r="L97" s="25">
        <v>927</v>
      </c>
      <c r="M97" s="18">
        <f t="shared" si="7"/>
        <v>442.5</v>
      </c>
      <c r="N97" s="19">
        <f t="shared" si="8"/>
        <v>45421</v>
      </c>
      <c r="O97" s="18" t="b">
        <f t="shared" si="6"/>
        <v>0</v>
      </c>
      <c r="P97" s="43" t="str">
        <f>IF(O97,swap_curve!$B$19,"")</f>
        <v/>
      </c>
      <c r="Q97" t="str">
        <f t="shared" si="9"/>
        <v/>
      </c>
      <c r="R97" t="str" cm="1">
        <f t="array" ref="R97">IF(O97,BSCall(swap_curve!$B$20,imvol!M97,imvol!P97,imvol!Q97,YEARFRAC(swap_curve!$C$1,imvol!N97)),"")</f>
        <v/>
      </c>
      <c r="S97" s="20" t="str">
        <f t="shared" si="5"/>
        <v/>
      </c>
    </row>
    <row r="98" spans="1:19" x14ac:dyDescent="0.3">
      <c r="A98" s="23" t="s">
        <v>120</v>
      </c>
      <c r="B98" s="23" t="s">
        <v>121</v>
      </c>
      <c r="C98" s="24" t="s">
        <v>23</v>
      </c>
      <c r="D98" s="24" t="s">
        <v>23</v>
      </c>
      <c r="E98" s="24" t="s">
        <v>23</v>
      </c>
      <c r="F98" s="24" t="s">
        <v>23</v>
      </c>
      <c r="G98" s="24" t="s">
        <v>23</v>
      </c>
      <c r="H98" s="24">
        <v>38.93</v>
      </c>
      <c r="I98" s="24">
        <v>0.01</v>
      </c>
      <c r="J98" s="25">
        <v>0</v>
      </c>
      <c r="K98" s="25">
        <v>0</v>
      </c>
      <c r="L98" s="25">
        <v>1265</v>
      </c>
      <c r="M98" s="18">
        <f t="shared" si="7"/>
        <v>445</v>
      </c>
      <c r="N98" s="19">
        <f t="shared" si="8"/>
        <v>45421</v>
      </c>
      <c r="O98" s="18" t="b">
        <f t="shared" si="6"/>
        <v>0</v>
      </c>
      <c r="P98" s="43" t="str">
        <f>IF(O98,swap_curve!$B$19,"")</f>
        <v/>
      </c>
      <c r="Q98" t="str">
        <f t="shared" si="9"/>
        <v/>
      </c>
      <c r="R98" t="str" cm="1">
        <f t="array" ref="R98">IF(O98,BSCall(swap_curve!$B$20,imvol!M98,imvol!P98,imvol!Q98,YEARFRAC(swap_curve!$C$1,imvol!N98)),"")</f>
        <v/>
      </c>
      <c r="S98" s="20" t="str">
        <f t="shared" si="5"/>
        <v/>
      </c>
    </row>
    <row r="99" spans="1:19" x14ac:dyDescent="0.3">
      <c r="A99" s="23" t="s">
        <v>788</v>
      </c>
      <c r="B99" s="23" t="s">
        <v>789</v>
      </c>
      <c r="C99" s="24" t="s">
        <v>23</v>
      </c>
      <c r="D99" s="24" t="s">
        <v>23</v>
      </c>
      <c r="E99" s="24" t="s">
        <v>23</v>
      </c>
      <c r="F99" s="24" t="s">
        <v>23</v>
      </c>
      <c r="G99" s="24" t="s">
        <v>23</v>
      </c>
      <c r="H99" s="24">
        <v>40.01</v>
      </c>
      <c r="I99" s="24">
        <v>0.01</v>
      </c>
      <c r="J99" s="25">
        <v>0</v>
      </c>
      <c r="K99" s="25">
        <v>0</v>
      </c>
      <c r="L99" s="25">
        <v>226</v>
      </c>
      <c r="M99" s="18">
        <f t="shared" si="7"/>
        <v>447.5</v>
      </c>
      <c r="N99" s="19">
        <f t="shared" si="8"/>
        <v>45421</v>
      </c>
      <c r="O99" s="18" t="b">
        <f t="shared" si="6"/>
        <v>0</v>
      </c>
      <c r="P99" s="43" t="str">
        <f>IF(O99,swap_curve!$B$19,"")</f>
        <v/>
      </c>
      <c r="Q99" t="str">
        <f t="shared" si="9"/>
        <v/>
      </c>
      <c r="R99" t="str" cm="1">
        <f t="array" ref="R99">IF(O99,BSCall(swap_curve!$B$20,imvol!M99,imvol!P99,imvol!Q99,YEARFRAC(swap_curve!$C$1,imvol!N99)),"")</f>
        <v/>
      </c>
      <c r="S99" s="20" t="str">
        <f t="shared" si="5"/>
        <v/>
      </c>
    </row>
    <row r="100" spans="1:19" x14ac:dyDescent="0.3">
      <c r="A100" s="23" t="s">
        <v>122</v>
      </c>
      <c r="B100" s="23" t="s">
        <v>123</v>
      </c>
      <c r="C100" s="24">
        <v>0.01</v>
      </c>
      <c r="D100" s="24">
        <v>0</v>
      </c>
      <c r="E100" s="24">
        <v>0.01</v>
      </c>
      <c r="F100" s="24">
        <v>0.01</v>
      </c>
      <c r="G100" s="24">
        <v>0.01</v>
      </c>
      <c r="H100" s="24">
        <v>41.1</v>
      </c>
      <c r="I100" s="24">
        <v>0.01</v>
      </c>
      <c r="J100" s="25">
        <v>3</v>
      </c>
      <c r="K100" s="25">
        <v>0</v>
      </c>
      <c r="L100" s="25">
        <v>261</v>
      </c>
      <c r="M100" s="18">
        <f t="shared" si="7"/>
        <v>450</v>
      </c>
      <c r="N100" s="19">
        <f t="shared" si="8"/>
        <v>45421</v>
      </c>
      <c r="O100" s="18" t="b">
        <f t="shared" si="6"/>
        <v>0</v>
      </c>
      <c r="P100" s="43" t="str">
        <f>IF(O100,swap_curve!$B$19,"")</f>
        <v/>
      </c>
      <c r="Q100" t="str">
        <f t="shared" si="9"/>
        <v/>
      </c>
      <c r="R100" t="str" cm="1">
        <f t="array" ref="R100">IF(O100,BSCall(swap_curve!$B$20,imvol!M100,imvol!P100,imvol!Q100,YEARFRAC(swap_curve!$C$1,imvol!N100)),"")</f>
        <v/>
      </c>
      <c r="S100" s="20" t="str">
        <f t="shared" si="5"/>
        <v/>
      </c>
    </row>
    <row r="101" spans="1:19" x14ac:dyDescent="0.3">
      <c r="A101" s="23" t="s">
        <v>790</v>
      </c>
      <c r="B101" s="23" t="s">
        <v>791</v>
      </c>
      <c r="C101" s="24" t="s">
        <v>23</v>
      </c>
      <c r="D101" s="24" t="s">
        <v>23</v>
      </c>
      <c r="E101" s="24" t="s">
        <v>23</v>
      </c>
      <c r="F101" s="24" t="s">
        <v>23</v>
      </c>
      <c r="G101" s="24" t="s">
        <v>23</v>
      </c>
      <c r="H101" s="24">
        <v>42.1</v>
      </c>
      <c r="I101" s="24">
        <v>0.01</v>
      </c>
      <c r="J101" s="25">
        <v>0</v>
      </c>
      <c r="K101" s="25">
        <v>0</v>
      </c>
      <c r="L101" s="25">
        <v>210</v>
      </c>
      <c r="M101" s="18">
        <f t="shared" si="7"/>
        <v>452.5</v>
      </c>
      <c r="N101" s="19">
        <f t="shared" si="8"/>
        <v>45421</v>
      </c>
      <c r="O101" s="18" t="b">
        <f t="shared" si="6"/>
        <v>0</v>
      </c>
      <c r="P101" s="43" t="str">
        <f>IF(O101,swap_curve!$B$19,"")</f>
        <v/>
      </c>
      <c r="Q101" t="str">
        <f t="shared" si="9"/>
        <v/>
      </c>
      <c r="R101" t="str" cm="1">
        <f t="array" ref="R101">IF(O101,BSCall(swap_curve!$B$20,imvol!M101,imvol!P101,imvol!Q101,YEARFRAC(swap_curve!$C$1,imvol!N101)),"")</f>
        <v/>
      </c>
      <c r="S101" s="20" t="str">
        <f t="shared" si="5"/>
        <v/>
      </c>
    </row>
    <row r="102" spans="1:19" x14ac:dyDescent="0.3">
      <c r="A102" s="23" t="s">
        <v>124</v>
      </c>
      <c r="B102" s="23" t="s">
        <v>125</v>
      </c>
      <c r="C102" s="24" t="s">
        <v>23</v>
      </c>
      <c r="D102" s="24" t="s">
        <v>23</v>
      </c>
      <c r="E102" s="24" t="s">
        <v>23</v>
      </c>
      <c r="F102" s="24" t="s">
        <v>23</v>
      </c>
      <c r="G102" s="24" t="s">
        <v>23</v>
      </c>
      <c r="H102" s="24">
        <v>43.1</v>
      </c>
      <c r="I102" s="24">
        <v>0.01</v>
      </c>
      <c r="J102" s="25">
        <v>0</v>
      </c>
      <c r="K102" s="25">
        <v>0</v>
      </c>
      <c r="L102" s="25">
        <v>716</v>
      </c>
      <c r="M102" s="18">
        <f t="shared" si="7"/>
        <v>455</v>
      </c>
      <c r="N102" s="19">
        <f t="shared" si="8"/>
        <v>45421</v>
      </c>
      <c r="O102" s="18" t="b">
        <f t="shared" si="6"/>
        <v>0</v>
      </c>
      <c r="P102" s="43" t="str">
        <f>IF(O102,swap_curve!$B$19,"")</f>
        <v/>
      </c>
      <c r="Q102" t="str">
        <f t="shared" si="9"/>
        <v/>
      </c>
      <c r="R102" t="str" cm="1">
        <f t="array" ref="R102">IF(O102,BSCall(swap_curve!$B$20,imvol!M102,imvol!P102,imvol!Q102,YEARFRAC(swap_curve!$C$1,imvol!N102)),"")</f>
        <v/>
      </c>
      <c r="S102" s="20" t="str">
        <f t="shared" si="5"/>
        <v/>
      </c>
    </row>
    <row r="103" spans="1:19" x14ac:dyDescent="0.3">
      <c r="A103" s="23" t="s">
        <v>792</v>
      </c>
      <c r="B103" s="23" t="s">
        <v>793</v>
      </c>
      <c r="C103" s="24" t="s">
        <v>23</v>
      </c>
      <c r="D103" s="24" t="s">
        <v>23</v>
      </c>
      <c r="E103" s="24" t="s">
        <v>23</v>
      </c>
      <c r="F103" s="24" t="s">
        <v>23</v>
      </c>
      <c r="G103" s="24" t="s">
        <v>23</v>
      </c>
      <c r="H103" s="24">
        <v>44.09</v>
      </c>
      <c r="I103" s="24">
        <v>0.01</v>
      </c>
      <c r="J103" s="25">
        <v>0</v>
      </c>
      <c r="K103" s="25">
        <v>0</v>
      </c>
      <c r="L103" s="25">
        <v>110</v>
      </c>
      <c r="M103" s="18">
        <f t="shared" si="7"/>
        <v>457.5</v>
      </c>
      <c r="N103" s="19">
        <f t="shared" si="8"/>
        <v>45421</v>
      </c>
      <c r="O103" s="18" t="b">
        <f t="shared" si="6"/>
        <v>0</v>
      </c>
      <c r="P103" s="43" t="str">
        <f>IF(O103,swap_curve!$B$19,"")</f>
        <v/>
      </c>
      <c r="Q103" t="str">
        <f t="shared" si="9"/>
        <v/>
      </c>
      <c r="R103" t="str" cm="1">
        <f t="array" ref="R103">IF(O103,BSCall(swap_curve!$B$20,imvol!M103,imvol!P103,imvol!Q103,YEARFRAC(swap_curve!$C$1,imvol!N103)),"")</f>
        <v/>
      </c>
      <c r="S103" s="20" t="str">
        <f t="shared" si="5"/>
        <v/>
      </c>
    </row>
    <row r="104" spans="1:19" x14ac:dyDescent="0.3">
      <c r="A104" s="23" t="s">
        <v>126</v>
      </c>
      <c r="B104" s="23" t="s">
        <v>127</v>
      </c>
      <c r="C104" s="24" t="s">
        <v>23</v>
      </c>
      <c r="D104" s="24" t="s">
        <v>23</v>
      </c>
      <c r="E104" s="24" t="s">
        <v>23</v>
      </c>
      <c r="F104" s="24" t="s">
        <v>23</v>
      </c>
      <c r="G104" s="24" t="s">
        <v>23</v>
      </c>
      <c r="H104" s="24">
        <v>45.1</v>
      </c>
      <c r="I104" s="24">
        <v>0.01</v>
      </c>
      <c r="J104" s="25">
        <v>0</v>
      </c>
      <c r="K104" s="25">
        <v>0</v>
      </c>
      <c r="L104" s="25">
        <v>336</v>
      </c>
      <c r="M104" s="18">
        <f t="shared" si="7"/>
        <v>460</v>
      </c>
      <c r="N104" s="19">
        <f t="shared" si="8"/>
        <v>45421</v>
      </c>
      <c r="O104" s="18" t="b">
        <f t="shared" si="6"/>
        <v>0</v>
      </c>
      <c r="P104" s="43" t="str">
        <f>IF(O104,swap_curve!$B$19,"")</f>
        <v/>
      </c>
      <c r="Q104" t="str">
        <f t="shared" si="9"/>
        <v/>
      </c>
      <c r="R104" t="str" cm="1">
        <f t="array" ref="R104">IF(O104,BSCall(swap_curve!$B$20,imvol!M104,imvol!P104,imvol!Q104,YEARFRAC(swap_curve!$C$1,imvol!N104)),"")</f>
        <v/>
      </c>
      <c r="S104" s="20" t="str">
        <f t="shared" si="5"/>
        <v/>
      </c>
    </row>
    <row r="105" spans="1:19" x14ac:dyDescent="0.3">
      <c r="A105" s="23" t="s">
        <v>794</v>
      </c>
      <c r="B105" s="23" t="s">
        <v>795</v>
      </c>
      <c r="C105" s="24" t="s">
        <v>23</v>
      </c>
      <c r="D105" s="24" t="s">
        <v>23</v>
      </c>
      <c r="E105" s="24" t="s">
        <v>23</v>
      </c>
      <c r="F105" s="24" t="s">
        <v>23</v>
      </c>
      <c r="G105" s="24" t="s">
        <v>23</v>
      </c>
      <c r="H105" s="24">
        <v>46.1</v>
      </c>
      <c r="I105" s="24">
        <v>0.01</v>
      </c>
      <c r="J105" s="25">
        <v>0</v>
      </c>
      <c r="K105" s="25">
        <v>0</v>
      </c>
      <c r="L105" s="25">
        <v>144</v>
      </c>
      <c r="M105" s="18">
        <f t="shared" si="7"/>
        <v>462.5</v>
      </c>
      <c r="N105" s="19">
        <f t="shared" si="8"/>
        <v>45421</v>
      </c>
      <c r="O105" s="18" t="b">
        <f t="shared" si="6"/>
        <v>0</v>
      </c>
      <c r="P105" s="43" t="str">
        <f>IF(O105,swap_curve!$B$19,"")</f>
        <v/>
      </c>
      <c r="Q105" t="str">
        <f t="shared" si="9"/>
        <v/>
      </c>
      <c r="R105" t="str" cm="1">
        <f t="array" ref="R105">IF(O105,BSCall(swap_curve!$B$20,imvol!M105,imvol!P105,imvol!Q105,YEARFRAC(swap_curve!$C$1,imvol!N105)),"")</f>
        <v/>
      </c>
      <c r="S105" s="20" t="str">
        <f t="shared" si="5"/>
        <v/>
      </c>
    </row>
    <row r="106" spans="1:19" x14ac:dyDescent="0.3">
      <c r="A106" s="23" t="s">
        <v>128</v>
      </c>
      <c r="B106" s="23" t="s">
        <v>129</v>
      </c>
      <c r="C106" s="24" t="s">
        <v>23</v>
      </c>
      <c r="D106" s="24" t="s">
        <v>23</v>
      </c>
      <c r="E106" s="24" t="s">
        <v>23</v>
      </c>
      <c r="F106" s="24" t="s">
        <v>23</v>
      </c>
      <c r="G106" s="24" t="s">
        <v>23</v>
      </c>
      <c r="H106" s="24">
        <v>47.1</v>
      </c>
      <c r="I106" s="24">
        <v>0.01</v>
      </c>
      <c r="J106" s="25">
        <v>0</v>
      </c>
      <c r="K106" s="25">
        <v>0</v>
      </c>
      <c r="L106" s="25">
        <v>44</v>
      </c>
      <c r="M106" s="18">
        <f t="shared" si="7"/>
        <v>465</v>
      </c>
      <c r="N106" s="19">
        <f t="shared" si="8"/>
        <v>45421</v>
      </c>
      <c r="O106" s="18" t="b">
        <f t="shared" si="6"/>
        <v>0</v>
      </c>
      <c r="P106" s="43" t="str">
        <f>IF(O106,swap_curve!$B$19,"")</f>
        <v/>
      </c>
      <c r="Q106" t="str">
        <f t="shared" si="9"/>
        <v/>
      </c>
      <c r="R106" t="str" cm="1">
        <f t="array" ref="R106">IF(O106,BSCall(swap_curve!$B$20,imvol!M106,imvol!P106,imvol!Q106,YEARFRAC(swap_curve!$C$1,imvol!N106)),"")</f>
        <v/>
      </c>
      <c r="S106" s="20" t="str">
        <f t="shared" si="5"/>
        <v/>
      </c>
    </row>
    <row r="107" spans="1:19" x14ac:dyDescent="0.3">
      <c r="A107" s="23" t="s">
        <v>796</v>
      </c>
      <c r="B107" s="23" t="s">
        <v>797</v>
      </c>
      <c r="C107" s="24" t="s">
        <v>23</v>
      </c>
      <c r="D107" s="24" t="s">
        <v>23</v>
      </c>
      <c r="E107" s="24" t="s">
        <v>23</v>
      </c>
      <c r="F107" s="24" t="s">
        <v>23</v>
      </c>
      <c r="G107" s="24" t="s">
        <v>23</v>
      </c>
      <c r="H107" s="24">
        <v>48.1</v>
      </c>
      <c r="I107" s="24">
        <v>0.01</v>
      </c>
      <c r="J107" s="25">
        <v>0</v>
      </c>
      <c r="K107" s="25">
        <v>0</v>
      </c>
      <c r="L107" s="25">
        <v>38</v>
      </c>
      <c r="M107" s="18">
        <f t="shared" si="7"/>
        <v>467.5</v>
      </c>
      <c r="N107" s="19">
        <f t="shared" si="8"/>
        <v>45421</v>
      </c>
      <c r="O107" s="18" t="b">
        <f t="shared" si="6"/>
        <v>0</v>
      </c>
      <c r="P107" s="43" t="str">
        <f>IF(O107,swap_curve!$B$19,"")</f>
        <v/>
      </c>
      <c r="Q107" t="str">
        <f t="shared" si="9"/>
        <v/>
      </c>
      <c r="R107" t="str" cm="1">
        <f t="array" ref="R107">IF(O107,BSCall(swap_curve!$B$20,imvol!M107,imvol!P107,imvol!Q107,YEARFRAC(swap_curve!$C$1,imvol!N107)),"")</f>
        <v/>
      </c>
      <c r="S107" s="20" t="str">
        <f t="shared" si="5"/>
        <v/>
      </c>
    </row>
    <row r="108" spans="1:19" x14ac:dyDescent="0.3">
      <c r="A108" s="23" t="s">
        <v>130</v>
      </c>
      <c r="B108" s="23" t="s">
        <v>131</v>
      </c>
      <c r="C108" s="24" t="s">
        <v>23</v>
      </c>
      <c r="D108" s="24" t="s">
        <v>23</v>
      </c>
      <c r="E108" s="24" t="s">
        <v>23</v>
      </c>
      <c r="F108" s="24" t="s">
        <v>23</v>
      </c>
      <c r="G108" s="24" t="s">
        <v>23</v>
      </c>
      <c r="H108" s="24">
        <v>49.1</v>
      </c>
      <c r="I108" s="24">
        <v>0.01</v>
      </c>
      <c r="J108" s="25">
        <v>0</v>
      </c>
      <c r="K108" s="25">
        <v>0</v>
      </c>
      <c r="L108" s="25">
        <v>80</v>
      </c>
      <c r="M108" s="18">
        <f t="shared" si="7"/>
        <v>470</v>
      </c>
      <c r="N108" s="19">
        <f t="shared" si="8"/>
        <v>45421</v>
      </c>
      <c r="O108" s="18" t="b">
        <f t="shared" si="6"/>
        <v>0</v>
      </c>
      <c r="P108" s="43" t="str">
        <f>IF(O108,swap_curve!$B$19,"")</f>
        <v/>
      </c>
      <c r="Q108" t="str">
        <f t="shared" si="9"/>
        <v/>
      </c>
      <c r="R108" t="str" cm="1">
        <f t="array" ref="R108">IF(O108,BSCall(swap_curve!$B$20,imvol!M108,imvol!P108,imvol!Q108,YEARFRAC(swap_curve!$C$1,imvol!N108)),"")</f>
        <v/>
      </c>
      <c r="S108" s="20" t="str">
        <f t="shared" si="5"/>
        <v/>
      </c>
    </row>
    <row r="109" spans="1:19" x14ac:dyDescent="0.3">
      <c r="A109" s="23" t="s">
        <v>798</v>
      </c>
      <c r="B109" s="23" t="s">
        <v>799</v>
      </c>
      <c r="C109" s="24" t="s">
        <v>23</v>
      </c>
      <c r="D109" s="24" t="s">
        <v>23</v>
      </c>
      <c r="E109" s="24" t="s">
        <v>23</v>
      </c>
      <c r="F109" s="24" t="s">
        <v>23</v>
      </c>
      <c r="G109" s="24" t="s">
        <v>23</v>
      </c>
      <c r="H109" s="24">
        <v>50.1</v>
      </c>
      <c r="I109" s="24">
        <v>0.01</v>
      </c>
      <c r="J109" s="25">
        <v>0</v>
      </c>
      <c r="K109" s="25">
        <v>0</v>
      </c>
      <c r="L109" s="25">
        <v>228</v>
      </c>
      <c r="M109" s="18">
        <f t="shared" si="7"/>
        <v>472.5</v>
      </c>
      <c r="N109" s="19">
        <f t="shared" si="8"/>
        <v>45421</v>
      </c>
      <c r="O109" s="18" t="b">
        <f t="shared" si="6"/>
        <v>0</v>
      </c>
      <c r="P109" s="43" t="str">
        <f>IF(O109,swap_curve!$B$19,"")</f>
        <v/>
      </c>
      <c r="Q109" t="str">
        <f t="shared" si="9"/>
        <v/>
      </c>
      <c r="R109" t="str" cm="1">
        <f t="array" ref="R109">IF(O109,BSCall(swap_curve!$B$20,imvol!M109,imvol!P109,imvol!Q109,YEARFRAC(swap_curve!$C$1,imvol!N109)),"")</f>
        <v/>
      </c>
      <c r="S109" s="20" t="str">
        <f t="shared" si="5"/>
        <v/>
      </c>
    </row>
    <row r="110" spans="1:19" x14ac:dyDescent="0.3">
      <c r="A110" s="23" t="s">
        <v>800</v>
      </c>
      <c r="B110" s="23" t="s">
        <v>801</v>
      </c>
      <c r="C110" s="24" t="s">
        <v>23</v>
      </c>
      <c r="D110" s="24" t="s">
        <v>23</v>
      </c>
      <c r="E110" s="24" t="s">
        <v>23</v>
      </c>
      <c r="F110" s="24" t="s">
        <v>23</v>
      </c>
      <c r="G110" s="24" t="s">
        <v>23</v>
      </c>
      <c r="H110" s="24">
        <v>51.1</v>
      </c>
      <c r="I110" s="24">
        <v>0.01</v>
      </c>
      <c r="J110" s="25">
        <v>0</v>
      </c>
      <c r="K110" s="25">
        <v>0</v>
      </c>
      <c r="L110" s="25">
        <v>71</v>
      </c>
      <c r="M110" s="18">
        <f t="shared" si="7"/>
        <v>475</v>
      </c>
      <c r="N110" s="19">
        <f t="shared" si="8"/>
        <v>45421</v>
      </c>
      <c r="O110" s="18" t="b">
        <f t="shared" si="6"/>
        <v>0</v>
      </c>
      <c r="P110" s="43" t="str">
        <f>IF(O110,swap_curve!$B$19,"")</f>
        <v/>
      </c>
      <c r="Q110" t="str">
        <f t="shared" si="9"/>
        <v/>
      </c>
      <c r="R110" t="str" cm="1">
        <f t="array" ref="R110">IF(O110,BSCall(swap_curve!$B$20,imvol!M110,imvol!P110,imvol!Q110,YEARFRAC(swap_curve!$C$1,imvol!N110)),"")</f>
        <v/>
      </c>
      <c r="S110" s="20" t="str">
        <f t="shared" si="5"/>
        <v/>
      </c>
    </row>
    <row r="111" spans="1:19" x14ac:dyDescent="0.3">
      <c r="A111" s="23" t="s">
        <v>802</v>
      </c>
      <c r="B111" s="23" t="s">
        <v>803</v>
      </c>
      <c r="C111" s="24">
        <v>0.01</v>
      </c>
      <c r="D111" s="24">
        <v>0</v>
      </c>
      <c r="E111" s="24">
        <v>0.01</v>
      </c>
      <c r="F111" s="24">
        <v>0.01</v>
      </c>
      <c r="G111" s="24">
        <v>0.01</v>
      </c>
      <c r="H111" s="24">
        <v>52.1</v>
      </c>
      <c r="I111" s="24">
        <v>0.01</v>
      </c>
      <c r="J111" s="25">
        <v>1</v>
      </c>
      <c r="K111" s="25">
        <v>0</v>
      </c>
      <c r="L111" s="25">
        <v>51</v>
      </c>
      <c r="M111" s="18">
        <f t="shared" si="7"/>
        <v>477.5</v>
      </c>
      <c r="N111" s="19">
        <f t="shared" si="8"/>
        <v>45421</v>
      </c>
      <c r="O111" s="18" t="b">
        <f t="shared" si="6"/>
        <v>0</v>
      </c>
      <c r="P111" s="43" t="str">
        <f>IF(O111,swap_curve!$B$19,"")</f>
        <v/>
      </c>
      <c r="Q111" t="str">
        <f t="shared" si="9"/>
        <v/>
      </c>
      <c r="R111" t="str" cm="1">
        <f t="array" ref="R111">IF(O111,BSCall(swap_curve!$B$20,imvol!M111,imvol!P111,imvol!Q111,YEARFRAC(swap_curve!$C$1,imvol!N111)),"")</f>
        <v/>
      </c>
      <c r="S111" s="20" t="str">
        <f t="shared" si="5"/>
        <v/>
      </c>
    </row>
    <row r="112" spans="1:19" x14ac:dyDescent="0.3">
      <c r="A112" s="23" t="s">
        <v>804</v>
      </c>
      <c r="B112" s="23" t="s">
        <v>805</v>
      </c>
      <c r="C112" s="24" t="s">
        <v>23</v>
      </c>
      <c r="D112" s="24" t="s">
        <v>23</v>
      </c>
      <c r="E112" s="24" t="s">
        <v>23</v>
      </c>
      <c r="F112" s="24" t="s">
        <v>23</v>
      </c>
      <c r="G112" s="24" t="s">
        <v>23</v>
      </c>
      <c r="H112" s="24">
        <v>52.1</v>
      </c>
      <c r="I112" s="24">
        <v>0.01</v>
      </c>
      <c r="J112" s="25">
        <v>0</v>
      </c>
      <c r="K112" s="25">
        <v>0</v>
      </c>
      <c r="L112" s="25">
        <v>653</v>
      </c>
      <c r="M112" s="18">
        <f t="shared" si="7"/>
        <v>480</v>
      </c>
      <c r="N112" s="19">
        <f t="shared" si="8"/>
        <v>45421</v>
      </c>
      <c r="O112" s="18" t="b">
        <f t="shared" si="6"/>
        <v>0</v>
      </c>
      <c r="P112" s="43" t="str">
        <f>IF(O112,swap_curve!$B$19,"")</f>
        <v/>
      </c>
      <c r="Q112" t="str">
        <f t="shared" si="9"/>
        <v/>
      </c>
      <c r="R112" t="str" cm="1">
        <f t="array" ref="R112">IF(O112,BSCall(swap_curve!$B$20,imvol!M112,imvol!P112,imvol!Q112,YEARFRAC(swap_curve!$C$1,imvol!N112)),"")</f>
        <v/>
      </c>
      <c r="S112" s="20" t="str">
        <f t="shared" si="5"/>
        <v/>
      </c>
    </row>
    <row r="113" spans="1:19" x14ac:dyDescent="0.3">
      <c r="A113" s="23" t="s">
        <v>132</v>
      </c>
      <c r="B113" s="23" t="s">
        <v>133</v>
      </c>
      <c r="C113" s="24">
        <v>204.55</v>
      </c>
      <c r="D113" s="24">
        <v>2.8</v>
      </c>
      <c r="E113" s="24">
        <v>204.85</v>
      </c>
      <c r="F113" s="24">
        <v>204.85</v>
      </c>
      <c r="G113" s="24">
        <v>204.55</v>
      </c>
      <c r="H113" s="24">
        <v>64</v>
      </c>
      <c r="I113" s="24">
        <v>204.55</v>
      </c>
      <c r="J113" s="25">
        <v>4</v>
      </c>
      <c r="K113" s="25">
        <v>205</v>
      </c>
      <c r="L113" s="25">
        <v>419</v>
      </c>
      <c r="M113" s="18">
        <f t="shared" si="7"/>
        <v>160</v>
      </c>
      <c r="N113" s="19">
        <f t="shared" si="8"/>
        <v>45456</v>
      </c>
      <c r="O113" s="18" t="b">
        <f t="shared" si="6"/>
        <v>0</v>
      </c>
      <c r="P113" s="43" t="str">
        <f>IF(O113,swap_curve!$B$19,"")</f>
        <v/>
      </c>
      <c r="Q113" t="str">
        <f t="shared" si="9"/>
        <v/>
      </c>
      <c r="R113" t="str" cm="1">
        <f t="array" ref="R113">IF(O113,BSCall(swap_curve!$B$20,imvol!M113,imvol!P113,imvol!Q113,YEARFRAC(swap_curve!$C$1,imvol!N113)),"")</f>
        <v/>
      </c>
      <c r="S113" s="20" t="str">
        <f t="shared" si="5"/>
        <v/>
      </c>
    </row>
    <row r="114" spans="1:19" x14ac:dyDescent="0.3">
      <c r="A114" s="23" t="s">
        <v>806</v>
      </c>
      <c r="B114" s="23" t="s">
        <v>807</v>
      </c>
      <c r="C114" s="24" t="s">
        <v>23</v>
      </c>
      <c r="D114" s="24" t="s">
        <v>23</v>
      </c>
      <c r="E114" s="24" t="s">
        <v>23</v>
      </c>
      <c r="F114" s="24" t="s">
        <v>23</v>
      </c>
      <c r="G114" s="24" t="s">
        <v>23</v>
      </c>
      <c r="H114" s="24">
        <v>64</v>
      </c>
      <c r="I114" s="24">
        <v>202.7</v>
      </c>
      <c r="J114" s="25">
        <v>0</v>
      </c>
      <c r="K114" s="25">
        <v>0</v>
      </c>
      <c r="L114" s="25">
        <v>0</v>
      </c>
      <c r="M114" s="18">
        <f t="shared" si="7"/>
        <v>162.5</v>
      </c>
      <c r="N114" s="19">
        <f t="shared" si="8"/>
        <v>45456</v>
      </c>
      <c r="O114" s="18" t="b">
        <f t="shared" si="6"/>
        <v>0</v>
      </c>
      <c r="P114" s="43" t="str">
        <f>IF(O114,swap_curve!$B$19,"")</f>
        <v/>
      </c>
      <c r="Q114" t="str">
        <f t="shared" si="9"/>
        <v/>
      </c>
      <c r="R114" t="str" cm="1">
        <f t="array" ref="R114">IF(O114,BSCall(swap_curve!$B$20,imvol!M114,imvol!P114,imvol!Q114,YEARFRAC(swap_curve!$C$1,imvol!N114)),"")</f>
        <v/>
      </c>
      <c r="S114" s="20" t="str">
        <f t="shared" si="5"/>
        <v/>
      </c>
    </row>
    <row r="115" spans="1:19" x14ac:dyDescent="0.3">
      <c r="A115" s="23" t="s">
        <v>134</v>
      </c>
      <c r="B115" s="23" t="s">
        <v>135</v>
      </c>
      <c r="C115" s="24">
        <v>199.45</v>
      </c>
      <c r="D115" s="24">
        <v>2.7</v>
      </c>
      <c r="E115" s="24">
        <v>199.45</v>
      </c>
      <c r="F115" s="24">
        <v>199.45</v>
      </c>
      <c r="G115" s="24">
        <v>199.45</v>
      </c>
      <c r="H115" s="24">
        <v>64</v>
      </c>
      <c r="I115" s="24">
        <v>199.45</v>
      </c>
      <c r="J115" s="25">
        <v>2</v>
      </c>
      <c r="K115" s="25">
        <v>100</v>
      </c>
      <c r="L115" s="25">
        <v>94</v>
      </c>
      <c r="M115" s="18">
        <f t="shared" si="7"/>
        <v>165</v>
      </c>
      <c r="N115" s="19">
        <f t="shared" si="8"/>
        <v>45456</v>
      </c>
      <c r="O115" s="18" t="b">
        <f t="shared" si="6"/>
        <v>0</v>
      </c>
      <c r="P115" s="43" t="str">
        <f>IF(O115,swap_curve!$B$19,"")</f>
        <v/>
      </c>
      <c r="Q115" t="str">
        <f t="shared" si="9"/>
        <v/>
      </c>
      <c r="R115" t="str" cm="1">
        <f t="array" ref="R115">IF(O115,BSCall(swap_curve!$B$20,imvol!M115,imvol!P115,imvol!Q115,YEARFRAC(swap_curve!$C$1,imvol!N115)),"")</f>
        <v/>
      </c>
      <c r="S115" s="20" t="str">
        <f t="shared" si="5"/>
        <v/>
      </c>
    </row>
    <row r="116" spans="1:19" x14ac:dyDescent="0.3">
      <c r="A116" s="23" t="s">
        <v>808</v>
      </c>
      <c r="B116" s="23" t="s">
        <v>809</v>
      </c>
      <c r="C116" s="24" t="s">
        <v>23</v>
      </c>
      <c r="D116" s="24" t="s">
        <v>23</v>
      </c>
      <c r="E116" s="24" t="s">
        <v>23</v>
      </c>
      <c r="F116" s="24" t="s">
        <v>23</v>
      </c>
      <c r="G116" s="24" t="s">
        <v>23</v>
      </c>
      <c r="H116" s="24">
        <v>63.29</v>
      </c>
      <c r="I116" s="24">
        <v>197.7</v>
      </c>
      <c r="J116" s="25">
        <v>0</v>
      </c>
      <c r="K116" s="25">
        <v>0</v>
      </c>
      <c r="L116" s="25">
        <v>0</v>
      </c>
      <c r="M116" s="18">
        <f t="shared" si="7"/>
        <v>167.5</v>
      </c>
      <c r="N116" s="19">
        <f t="shared" si="8"/>
        <v>45456</v>
      </c>
      <c r="O116" s="18" t="b">
        <f t="shared" si="6"/>
        <v>0</v>
      </c>
      <c r="P116" s="43" t="str">
        <f>IF(O116,swap_curve!$B$19,"")</f>
        <v/>
      </c>
      <c r="Q116" t="str">
        <f t="shared" si="9"/>
        <v/>
      </c>
      <c r="R116" t="str" cm="1">
        <f t="array" ref="R116">IF(O116,BSCall(swap_curve!$B$20,imvol!M116,imvol!P116,imvol!Q116,YEARFRAC(swap_curve!$C$1,imvol!N116)),"")</f>
        <v/>
      </c>
      <c r="S116" s="20" t="str">
        <f t="shared" si="5"/>
        <v/>
      </c>
    </row>
    <row r="117" spans="1:19" x14ac:dyDescent="0.3">
      <c r="A117" s="23" t="s">
        <v>136</v>
      </c>
      <c r="B117" s="23" t="s">
        <v>137</v>
      </c>
      <c r="C117" s="24" t="s">
        <v>23</v>
      </c>
      <c r="D117" s="24" t="s">
        <v>23</v>
      </c>
      <c r="E117" s="24" t="s">
        <v>23</v>
      </c>
      <c r="F117" s="24" t="s">
        <v>23</v>
      </c>
      <c r="G117" s="24" t="s">
        <v>23</v>
      </c>
      <c r="H117" s="24">
        <v>62.58</v>
      </c>
      <c r="I117" s="24">
        <v>195.25</v>
      </c>
      <c r="J117" s="25">
        <v>0</v>
      </c>
      <c r="K117" s="25">
        <v>0</v>
      </c>
      <c r="L117" s="25">
        <v>55</v>
      </c>
      <c r="M117" s="18">
        <f t="shared" si="7"/>
        <v>170</v>
      </c>
      <c r="N117" s="19">
        <f t="shared" si="8"/>
        <v>45456</v>
      </c>
      <c r="O117" s="18" t="b">
        <f t="shared" si="6"/>
        <v>0</v>
      </c>
      <c r="P117" s="43" t="str">
        <f>IF(O117,swap_curve!$B$19,"")</f>
        <v/>
      </c>
      <c r="Q117" t="str">
        <f t="shared" si="9"/>
        <v/>
      </c>
      <c r="R117" t="str" cm="1">
        <f t="array" ref="R117">IF(O117,BSCall(swap_curve!$B$20,imvol!M117,imvol!P117,imvol!Q117,YEARFRAC(swap_curve!$C$1,imvol!N117)),"")</f>
        <v/>
      </c>
      <c r="S117" s="20" t="str">
        <f t="shared" si="5"/>
        <v/>
      </c>
    </row>
    <row r="118" spans="1:19" x14ac:dyDescent="0.3">
      <c r="A118" s="23" t="s">
        <v>810</v>
      </c>
      <c r="B118" s="23" t="s">
        <v>811</v>
      </c>
      <c r="C118" s="24" t="s">
        <v>23</v>
      </c>
      <c r="D118" s="24" t="s">
        <v>23</v>
      </c>
      <c r="E118" s="24" t="s">
        <v>23</v>
      </c>
      <c r="F118" s="24" t="s">
        <v>23</v>
      </c>
      <c r="G118" s="24" t="s">
        <v>23</v>
      </c>
      <c r="H118" s="24">
        <v>61.87</v>
      </c>
      <c r="I118" s="24">
        <v>192.75</v>
      </c>
      <c r="J118" s="25">
        <v>0</v>
      </c>
      <c r="K118" s="25">
        <v>0</v>
      </c>
      <c r="L118" s="25">
        <v>0</v>
      </c>
      <c r="M118" s="18">
        <f t="shared" si="7"/>
        <v>172.5</v>
      </c>
      <c r="N118" s="19">
        <f t="shared" si="8"/>
        <v>45456</v>
      </c>
      <c r="O118" s="18" t="b">
        <f t="shared" si="6"/>
        <v>0</v>
      </c>
      <c r="P118" s="43" t="str">
        <f>IF(O118,swap_curve!$B$19,"")</f>
        <v/>
      </c>
      <c r="Q118" t="str">
        <f t="shared" si="9"/>
        <v/>
      </c>
      <c r="R118" t="str" cm="1">
        <f t="array" ref="R118">IF(O118,BSCall(swap_curve!$B$20,imvol!M118,imvol!P118,imvol!Q118,YEARFRAC(swap_curve!$C$1,imvol!N118)),"")</f>
        <v/>
      </c>
      <c r="S118" s="20" t="str">
        <f t="shared" si="5"/>
        <v/>
      </c>
    </row>
    <row r="119" spans="1:19" x14ac:dyDescent="0.3">
      <c r="A119" s="23" t="s">
        <v>138</v>
      </c>
      <c r="B119" s="23" t="s">
        <v>139</v>
      </c>
      <c r="C119" s="24" t="s">
        <v>23</v>
      </c>
      <c r="D119" s="24" t="s">
        <v>23</v>
      </c>
      <c r="E119" s="24" t="s">
        <v>23</v>
      </c>
      <c r="F119" s="24" t="s">
        <v>23</v>
      </c>
      <c r="G119" s="24" t="s">
        <v>23</v>
      </c>
      <c r="H119" s="24">
        <v>61.16</v>
      </c>
      <c r="I119" s="24">
        <v>190.25</v>
      </c>
      <c r="J119" s="25">
        <v>0</v>
      </c>
      <c r="K119" s="25">
        <v>0</v>
      </c>
      <c r="L119" s="25">
        <v>0</v>
      </c>
      <c r="M119" s="18">
        <f t="shared" si="7"/>
        <v>175</v>
      </c>
      <c r="N119" s="19">
        <f t="shared" si="8"/>
        <v>45456</v>
      </c>
      <c r="O119" s="18" t="b">
        <f t="shared" si="6"/>
        <v>0</v>
      </c>
      <c r="P119" s="43" t="str">
        <f>IF(O119,swap_curve!$B$19,"")</f>
        <v/>
      </c>
      <c r="Q119" t="str">
        <f t="shared" si="9"/>
        <v/>
      </c>
      <c r="R119" t="str" cm="1">
        <f t="array" ref="R119">IF(O119,BSCall(swap_curve!$B$20,imvol!M119,imvol!P119,imvol!Q119,YEARFRAC(swap_curve!$C$1,imvol!N119)),"")</f>
        <v/>
      </c>
      <c r="S119" s="20" t="str">
        <f t="shared" si="5"/>
        <v/>
      </c>
    </row>
    <row r="120" spans="1:19" x14ac:dyDescent="0.3">
      <c r="A120" s="23" t="s">
        <v>812</v>
      </c>
      <c r="B120" s="23" t="s">
        <v>813</v>
      </c>
      <c r="C120" s="24" t="s">
        <v>23</v>
      </c>
      <c r="D120" s="24" t="s">
        <v>23</v>
      </c>
      <c r="E120" s="24" t="s">
        <v>23</v>
      </c>
      <c r="F120" s="24" t="s">
        <v>23</v>
      </c>
      <c r="G120" s="24" t="s">
        <v>23</v>
      </c>
      <c r="H120" s="24">
        <v>60.45</v>
      </c>
      <c r="I120" s="24">
        <v>187.75</v>
      </c>
      <c r="J120" s="25">
        <v>0</v>
      </c>
      <c r="K120" s="25">
        <v>0</v>
      </c>
      <c r="L120" s="25">
        <v>0</v>
      </c>
      <c r="M120" s="18">
        <f t="shared" si="7"/>
        <v>177.5</v>
      </c>
      <c r="N120" s="19">
        <f t="shared" si="8"/>
        <v>45456</v>
      </c>
      <c r="O120" s="18" t="b">
        <f t="shared" si="6"/>
        <v>0</v>
      </c>
      <c r="P120" s="43" t="str">
        <f>IF(O120,swap_curve!$B$19,"")</f>
        <v/>
      </c>
      <c r="Q120" t="str">
        <f t="shared" si="9"/>
        <v/>
      </c>
      <c r="R120" t="str" cm="1">
        <f t="array" ref="R120">IF(O120,BSCall(swap_curve!$B$20,imvol!M120,imvol!P120,imvol!Q120,YEARFRAC(swap_curve!$C$1,imvol!N120)),"")</f>
        <v/>
      </c>
      <c r="S120" s="20" t="str">
        <f t="shared" si="5"/>
        <v/>
      </c>
    </row>
    <row r="121" spans="1:19" x14ac:dyDescent="0.3">
      <c r="A121" s="23" t="s">
        <v>140</v>
      </c>
      <c r="B121" s="23" t="s">
        <v>141</v>
      </c>
      <c r="C121" s="24" t="s">
        <v>23</v>
      </c>
      <c r="D121" s="24" t="s">
        <v>23</v>
      </c>
      <c r="E121" s="24" t="s">
        <v>23</v>
      </c>
      <c r="F121" s="24" t="s">
        <v>23</v>
      </c>
      <c r="G121" s="24" t="s">
        <v>23</v>
      </c>
      <c r="H121" s="24">
        <v>59.74</v>
      </c>
      <c r="I121" s="24">
        <v>185.25</v>
      </c>
      <c r="J121" s="25">
        <v>0</v>
      </c>
      <c r="K121" s="25">
        <v>0</v>
      </c>
      <c r="L121" s="25">
        <v>1</v>
      </c>
      <c r="M121" s="18">
        <f t="shared" si="7"/>
        <v>180</v>
      </c>
      <c r="N121" s="19">
        <f t="shared" si="8"/>
        <v>45456</v>
      </c>
      <c r="O121" s="18" t="b">
        <f t="shared" si="6"/>
        <v>0</v>
      </c>
      <c r="P121" s="43" t="str">
        <f>IF(O121,swap_curve!$B$19,"")</f>
        <v/>
      </c>
      <c r="Q121" t="str">
        <f t="shared" si="9"/>
        <v/>
      </c>
      <c r="R121" t="str" cm="1">
        <f t="array" ref="R121">IF(O121,BSCall(swap_curve!$B$20,imvol!M121,imvol!P121,imvol!Q121,YEARFRAC(swap_curve!$C$1,imvol!N121)),"")</f>
        <v/>
      </c>
      <c r="S121" s="20" t="str">
        <f t="shared" si="5"/>
        <v/>
      </c>
    </row>
    <row r="122" spans="1:19" x14ac:dyDescent="0.3">
      <c r="A122" s="23" t="s">
        <v>814</v>
      </c>
      <c r="B122" s="23" t="s">
        <v>815</v>
      </c>
      <c r="C122" s="24" t="s">
        <v>23</v>
      </c>
      <c r="D122" s="24" t="s">
        <v>23</v>
      </c>
      <c r="E122" s="24" t="s">
        <v>23</v>
      </c>
      <c r="F122" s="24" t="s">
        <v>23</v>
      </c>
      <c r="G122" s="24" t="s">
        <v>23</v>
      </c>
      <c r="H122" s="24">
        <v>59.03</v>
      </c>
      <c r="I122" s="24">
        <v>182.8</v>
      </c>
      <c r="J122" s="25">
        <v>0</v>
      </c>
      <c r="K122" s="25">
        <v>0</v>
      </c>
      <c r="L122" s="25">
        <v>0</v>
      </c>
      <c r="M122" s="18">
        <f t="shared" si="7"/>
        <v>182.5</v>
      </c>
      <c r="N122" s="19">
        <f t="shared" si="8"/>
        <v>45456</v>
      </c>
      <c r="O122" s="18" t="b">
        <f t="shared" si="6"/>
        <v>0</v>
      </c>
      <c r="P122" s="43" t="str">
        <f>IF(O122,swap_curve!$B$19,"")</f>
        <v/>
      </c>
      <c r="Q122" t="str">
        <f t="shared" si="9"/>
        <v/>
      </c>
      <c r="R122" t="str" cm="1">
        <f t="array" ref="R122">IF(O122,BSCall(swap_curve!$B$20,imvol!M122,imvol!P122,imvol!Q122,YEARFRAC(swap_curve!$C$1,imvol!N122)),"")</f>
        <v/>
      </c>
      <c r="S122" s="20" t="str">
        <f t="shared" si="5"/>
        <v/>
      </c>
    </row>
    <row r="123" spans="1:19" x14ac:dyDescent="0.3">
      <c r="A123" s="23" t="s">
        <v>142</v>
      </c>
      <c r="B123" s="23" t="s">
        <v>143</v>
      </c>
      <c r="C123" s="24" t="s">
        <v>23</v>
      </c>
      <c r="D123" s="24" t="s">
        <v>23</v>
      </c>
      <c r="E123" s="24" t="s">
        <v>23</v>
      </c>
      <c r="F123" s="24" t="s">
        <v>23</v>
      </c>
      <c r="G123" s="24" t="s">
        <v>23</v>
      </c>
      <c r="H123" s="24">
        <v>58.32</v>
      </c>
      <c r="I123" s="24">
        <v>180.3</v>
      </c>
      <c r="J123" s="25">
        <v>0</v>
      </c>
      <c r="K123" s="25">
        <v>0</v>
      </c>
      <c r="L123" s="25">
        <v>0</v>
      </c>
      <c r="M123" s="18">
        <f t="shared" si="7"/>
        <v>185</v>
      </c>
      <c r="N123" s="19">
        <f t="shared" si="8"/>
        <v>45456</v>
      </c>
      <c r="O123" s="18" t="b">
        <f t="shared" si="6"/>
        <v>0</v>
      </c>
      <c r="P123" s="43" t="str">
        <f>IF(O123,swap_curve!$B$19,"")</f>
        <v/>
      </c>
      <c r="Q123" t="str">
        <f t="shared" si="9"/>
        <v/>
      </c>
      <c r="R123" t="str" cm="1">
        <f t="array" ref="R123">IF(O123,BSCall(swap_curve!$B$20,imvol!M123,imvol!P123,imvol!Q123,YEARFRAC(swap_curve!$C$1,imvol!N123)),"")</f>
        <v/>
      </c>
      <c r="S123" s="20" t="str">
        <f t="shared" si="5"/>
        <v/>
      </c>
    </row>
    <row r="124" spans="1:19" x14ac:dyDescent="0.3">
      <c r="A124" s="23" t="s">
        <v>816</v>
      </c>
      <c r="B124" s="23" t="s">
        <v>817</v>
      </c>
      <c r="C124" s="24" t="s">
        <v>23</v>
      </c>
      <c r="D124" s="24" t="s">
        <v>23</v>
      </c>
      <c r="E124" s="24" t="s">
        <v>23</v>
      </c>
      <c r="F124" s="24" t="s">
        <v>23</v>
      </c>
      <c r="G124" s="24" t="s">
        <v>23</v>
      </c>
      <c r="H124" s="24">
        <v>57.61</v>
      </c>
      <c r="I124" s="24">
        <v>177.8</v>
      </c>
      <c r="J124" s="25">
        <v>0</v>
      </c>
      <c r="K124" s="25">
        <v>0</v>
      </c>
      <c r="L124" s="25">
        <v>0</v>
      </c>
      <c r="M124" s="18">
        <f t="shared" si="7"/>
        <v>187.5</v>
      </c>
      <c r="N124" s="19">
        <f t="shared" si="8"/>
        <v>45456</v>
      </c>
      <c r="O124" s="18" t="b">
        <f t="shared" si="6"/>
        <v>0</v>
      </c>
      <c r="P124" s="43" t="str">
        <f>IF(O124,swap_curve!$B$19,"")</f>
        <v/>
      </c>
      <c r="Q124" t="str">
        <f t="shared" si="9"/>
        <v/>
      </c>
      <c r="R124" t="str" cm="1">
        <f t="array" ref="R124">IF(O124,BSCall(swap_curve!$B$20,imvol!M124,imvol!P124,imvol!Q124,YEARFRAC(swap_curve!$C$1,imvol!N124)),"")</f>
        <v/>
      </c>
      <c r="S124" s="20" t="str">
        <f t="shared" si="5"/>
        <v/>
      </c>
    </row>
    <row r="125" spans="1:19" x14ac:dyDescent="0.3">
      <c r="A125" s="23" t="s">
        <v>144</v>
      </c>
      <c r="B125" s="23" t="s">
        <v>145</v>
      </c>
      <c r="C125" s="24" t="s">
        <v>23</v>
      </c>
      <c r="D125" s="24" t="s">
        <v>23</v>
      </c>
      <c r="E125" s="24" t="s">
        <v>23</v>
      </c>
      <c r="F125" s="24" t="s">
        <v>23</v>
      </c>
      <c r="G125" s="24" t="s">
        <v>23</v>
      </c>
      <c r="H125" s="24">
        <v>56.9</v>
      </c>
      <c r="I125" s="24">
        <v>175.3</v>
      </c>
      <c r="J125" s="25">
        <v>0</v>
      </c>
      <c r="K125" s="25">
        <v>0</v>
      </c>
      <c r="L125" s="25">
        <v>0</v>
      </c>
      <c r="M125" s="18">
        <f t="shared" si="7"/>
        <v>190</v>
      </c>
      <c r="N125" s="19">
        <f t="shared" si="8"/>
        <v>45456</v>
      </c>
      <c r="O125" s="18" t="b">
        <f t="shared" si="6"/>
        <v>0</v>
      </c>
      <c r="P125" s="43" t="str">
        <f>IF(O125,swap_curve!$B$19,"")</f>
        <v/>
      </c>
      <c r="Q125" t="str">
        <f t="shared" si="9"/>
        <v/>
      </c>
      <c r="R125" t="str" cm="1">
        <f t="array" ref="R125">IF(O125,BSCall(swap_curve!$B$20,imvol!M125,imvol!P125,imvol!Q125,YEARFRAC(swap_curve!$C$1,imvol!N125)),"")</f>
        <v/>
      </c>
      <c r="S125" s="20" t="str">
        <f t="shared" si="5"/>
        <v/>
      </c>
    </row>
    <row r="126" spans="1:19" x14ac:dyDescent="0.3">
      <c r="A126" s="23" t="s">
        <v>818</v>
      </c>
      <c r="B126" s="23" t="s">
        <v>819</v>
      </c>
      <c r="C126" s="24" t="s">
        <v>23</v>
      </c>
      <c r="D126" s="24" t="s">
        <v>23</v>
      </c>
      <c r="E126" s="24" t="s">
        <v>23</v>
      </c>
      <c r="F126" s="24" t="s">
        <v>23</v>
      </c>
      <c r="G126" s="24" t="s">
        <v>23</v>
      </c>
      <c r="H126" s="24">
        <v>56.19</v>
      </c>
      <c r="I126" s="24">
        <v>172.85</v>
      </c>
      <c r="J126" s="25">
        <v>0</v>
      </c>
      <c r="K126" s="25">
        <v>0</v>
      </c>
      <c r="L126" s="25">
        <v>0</v>
      </c>
      <c r="M126" s="18">
        <f t="shared" si="7"/>
        <v>192.5</v>
      </c>
      <c r="N126" s="19">
        <f t="shared" si="8"/>
        <v>45456</v>
      </c>
      <c r="O126" s="18" t="b">
        <f t="shared" si="6"/>
        <v>0</v>
      </c>
      <c r="P126" s="43" t="str">
        <f>IF(O126,swap_curve!$B$19,"")</f>
        <v/>
      </c>
      <c r="Q126" t="str">
        <f t="shared" si="9"/>
        <v/>
      </c>
      <c r="R126" t="str" cm="1">
        <f t="array" ref="R126">IF(O126,BSCall(swap_curve!$B$20,imvol!M126,imvol!P126,imvol!Q126,YEARFRAC(swap_curve!$C$1,imvol!N126)),"")</f>
        <v/>
      </c>
      <c r="S126" s="20" t="str">
        <f t="shared" si="5"/>
        <v/>
      </c>
    </row>
    <row r="127" spans="1:19" x14ac:dyDescent="0.3">
      <c r="A127" s="23" t="s">
        <v>146</v>
      </c>
      <c r="B127" s="23" t="s">
        <v>147</v>
      </c>
      <c r="C127" s="24" t="s">
        <v>23</v>
      </c>
      <c r="D127" s="24" t="s">
        <v>23</v>
      </c>
      <c r="E127" s="24" t="s">
        <v>23</v>
      </c>
      <c r="F127" s="24" t="s">
        <v>23</v>
      </c>
      <c r="G127" s="24" t="s">
        <v>23</v>
      </c>
      <c r="H127" s="24">
        <v>55.48</v>
      </c>
      <c r="I127" s="24">
        <v>170.35</v>
      </c>
      <c r="J127" s="25">
        <v>0</v>
      </c>
      <c r="K127" s="25">
        <v>0</v>
      </c>
      <c r="L127" s="25">
        <v>0</v>
      </c>
      <c r="M127" s="18">
        <f t="shared" si="7"/>
        <v>195</v>
      </c>
      <c r="N127" s="19">
        <f t="shared" si="8"/>
        <v>45456</v>
      </c>
      <c r="O127" s="18" t="b">
        <f t="shared" si="6"/>
        <v>0</v>
      </c>
      <c r="P127" s="43" t="str">
        <f>IF(O127,swap_curve!$B$19,"")</f>
        <v/>
      </c>
      <c r="Q127" t="str">
        <f t="shared" si="9"/>
        <v/>
      </c>
      <c r="R127" t="str" cm="1">
        <f t="array" ref="R127">IF(O127,BSCall(swap_curve!$B$20,imvol!M127,imvol!P127,imvol!Q127,YEARFRAC(swap_curve!$C$1,imvol!N127)),"")</f>
        <v/>
      </c>
      <c r="S127" s="20" t="str">
        <f t="shared" ref="S127:S190" si="10">IF(O127,R127-C127,"")</f>
        <v/>
      </c>
    </row>
    <row r="128" spans="1:19" x14ac:dyDescent="0.3">
      <c r="A128" s="23" t="s">
        <v>820</v>
      </c>
      <c r="B128" s="23" t="s">
        <v>821</v>
      </c>
      <c r="C128" s="24" t="s">
        <v>23</v>
      </c>
      <c r="D128" s="24" t="s">
        <v>23</v>
      </c>
      <c r="E128" s="24" t="s">
        <v>23</v>
      </c>
      <c r="F128" s="24" t="s">
        <v>23</v>
      </c>
      <c r="G128" s="24" t="s">
        <v>23</v>
      </c>
      <c r="H128" s="24">
        <v>54.77</v>
      </c>
      <c r="I128" s="24">
        <v>167.85</v>
      </c>
      <c r="J128" s="25">
        <v>0</v>
      </c>
      <c r="K128" s="25">
        <v>0</v>
      </c>
      <c r="L128" s="25">
        <v>0</v>
      </c>
      <c r="M128" s="18">
        <f t="shared" si="7"/>
        <v>197.5</v>
      </c>
      <c r="N128" s="19">
        <f t="shared" si="8"/>
        <v>45456</v>
      </c>
      <c r="O128" s="18" t="b">
        <f t="shared" si="6"/>
        <v>0</v>
      </c>
      <c r="P128" s="43" t="str">
        <f>IF(O128,swap_curve!$B$19,"")</f>
        <v/>
      </c>
      <c r="Q128" t="str">
        <f t="shared" si="9"/>
        <v/>
      </c>
      <c r="R128" t="str" cm="1">
        <f t="array" ref="R128">IF(O128,BSCall(swap_curve!$B$20,imvol!M128,imvol!P128,imvol!Q128,YEARFRAC(swap_curve!$C$1,imvol!N128)),"")</f>
        <v/>
      </c>
      <c r="S128" s="20" t="str">
        <f t="shared" si="10"/>
        <v/>
      </c>
    </row>
    <row r="129" spans="1:19" x14ac:dyDescent="0.3">
      <c r="A129" s="23" t="s">
        <v>148</v>
      </c>
      <c r="B129" s="23" t="s">
        <v>149</v>
      </c>
      <c r="C129" s="24" t="s">
        <v>23</v>
      </c>
      <c r="D129" s="24" t="s">
        <v>23</v>
      </c>
      <c r="E129" s="24" t="s">
        <v>23</v>
      </c>
      <c r="F129" s="24" t="s">
        <v>23</v>
      </c>
      <c r="G129" s="24" t="s">
        <v>23</v>
      </c>
      <c r="H129" s="24">
        <v>54.06</v>
      </c>
      <c r="I129" s="24">
        <v>165.35</v>
      </c>
      <c r="J129" s="25">
        <v>0</v>
      </c>
      <c r="K129" s="25">
        <v>0</v>
      </c>
      <c r="L129" s="25">
        <v>2</v>
      </c>
      <c r="M129" s="18">
        <f t="shared" si="7"/>
        <v>200</v>
      </c>
      <c r="N129" s="19">
        <f t="shared" si="8"/>
        <v>45456</v>
      </c>
      <c r="O129" s="18" t="b">
        <f t="shared" si="6"/>
        <v>0</v>
      </c>
      <c r="P129" s="43" t="str">
        <f>IF(O129,swap_curve!$B$19,"")</f>
        <v/>
      </c>
      <c r="Q129" t="str">
        <f t="shared" si="9"/>
        <v/>
      </c>
      <c r="R129" t="str" cm="1">
        <f t="array" ref="R129">IF(O129,BSCall(swap_curve!$B$20,imvol!M129,imvol!P129,imvol!Q129,YEARFRAC(swap_curve!$C$1,imvol!N129)),"")</f>
        <v/>
      </c>
      <c r="S129" s="20" t="str">
        <f t="shared" si="10"/>
        <v/>
      </c>
    </row>
    <row r="130" spans="1:19" x14ac:dyDescent="0.3">
      <c r="A130" s="23" t="s">
        <v>822</v>
      </c>
      <c r="B130" s="23" t="s">
        <v>823</v>
      </c>
      <c r="C130" s="24" t="s">
        <v>23</v>
      </c>
      <c r="D130" s="24" t="s">
        <v>23</v>
      </c>
      <c r="E130" s="24" t="s">
        <v>23</v>
      </c>
      <c r="F130" s="24" t="s">
        <v>23</v>
      </c>
      <c r="G130" s="24" t="s">
        <v>23</v>
      </c>
      <c r="H130" s="24">
        <v>53.35</v>
      </c>
      <c r="I130" s="24">
        <v>162.9</v>
      </c>
      <c r="J130" s="25">
        <v>0</v>
      </c>
      <c r="K130" s="25">
        <v>0</v>
      </c>
      <c r="L130" s="25">
        <v>0</v>
      </c>
      <c r="M130" s="18">
        <f t="shared" si="7"/>
        <v>202.5</v>
      </c>
      <c r="N130" s="19">
        <f t="shared" si="8"/>
        <v>45456</v>
      </c>
      <c r="O130" s="18" t="b">
        <f t="shared" ref="O130:O193" si="11">IF(J130&gt;100, TRUE,FALSE)</f>
        <v>0</v>
      </c>
      <c r="P130" s="43" t="str">
        <f>IF(O130,swap_curve!$B$19,"")</f>
        <v/>
      </c>
      <c r="Q130" t="str">
        <f t="shared" si="9"/>
        <v/>
      </c>
      <c r="R130" t="str" cm="1">
        <f t="array" ref="R130">IF(O130,BSCall(swap_curve!$B$20,imvol!M130,imvol!P130,imvol!Q130,YEARFRAC(swap_curve!$C$1,imvol!N130)),"")</f>
        <v/>
      </c>
      <c r="S130" s="20" t="str">
        <f t="shared" si="10"/>
        <v/>
      </c>
    </row>
    <row r="131" spans="1:19" x14ac:dyDescent="0.3">
      <c r="A131" s="23" t="s">
        <v>150</v>
      </c>
      <c r="B131" s="23" t="s">
        <v>151</v>
      </c>
      <c r="C131" s="24" t="s">
        <v>23</v>
      </c>
      <c r="D131" s="24" t="s">
        <v>23</v>
      </c>
      <c r="E131" s="24" t="s">
        <v>23</v>
      </c>
      <c r="F131" s="24" t="s">
        <v>23</v>
      </c>
      <c r="G131" s="24" t="s">
        <v>23</v>
      </c>
      <c r="H131" s="24">
        <v>52.64</v>
      </c>
      <c r="I131" s="24">
        <v>160.4</v>
      </c>
      <c r="J131" s="25">
        <v>0</v>
      </c>
      <c r="K131" s="25">
        <v>0</v>
      </c>
      <c r="L131" s="25">
        <v>0</v>
      </c>
      <c r="M131" s="18">
        <f t="shared" ref="M131:M194" si="12">VALUE(RIGHT(B131, 6))</f>
        <v>205</v>
      </c>
      <c r="N131" s="19">
        <f t="shared" ref="N131:N194" si="13">DATE(VALUE(LEFT(MID(B131,10,6),4)),VALUE(RIGHT(MID(B131,10,6),2)),1)+MOD(5-WEEKDAY(DATE(VALUE(LEFT(MID(B131,10,6),4)),VALUE(RIGHT(MID(B131,10,6),2)),1)),7)+7</f>
        <v>45456</v>
      </c>
      <c r="O131" s="18" t="b">
        <f t="shared" si="11"/>
        <v>0</v>
      </c>
      <c r="P131" s="43" t="str">
        <f>IF(O131,swap_curve!$B$19,"")</f>
        <v/>
      </c>
      <c r="Q131" t="str">
        <f t="shared" ref="Q131:Q194" si="14">IF(O131,H131%,"")</f>
        <v/>
      </c>
      <c r="R131" t="str" cm="1">
        <f t="array" ref="R131">IF(O131,BSCall(swap_curve!$B$20,imvol!M131,imvol!P131,imvol!Q131,YEARFRAC(swap_curve!$C$1,imvol!N131)),"")</f>
        <v/>
      </c>
      <c r="S131" s="20" t="str">
        <f t="shared" si="10"/>
        <v/>
      </c>
    </row>
    <row r="132" spans="1:19" x14ac:dyDescent="0.3">
      <c r="A132" s="23" t="s">
        <v>824</v>
      </c>
      <c r="B132" s="23" t="s">
        <v>825</v>
      </c>
      <c r="C132" s="24" t="s">
        <v>23</v>
      </c>
      <c r="D132" s="24" t="s">
        <v>23</v>
      </c>
      <c r="E132" s="24" t="s">
        <v>23</v>
      </c>
      <c r="F132" s="24" t="s">
        <v>23</v>
      </c>
      <c r="G132" s="24" t="s">
        <v>23</v>
      </c>
      <c r="H132" s="24">
        <v>51.93</v>
      </c>
      <c r="I132" s="24">
        <v>157.9</v>
      </c>
      <c r="J132" s="25">
        <v>0</v>
      </c>
      <c r="K132" s="25">
        <v>0</v>
      </c>
      <c r="L132" s="25">
        <v>0</v>
      </c>
      <c r="M132" s="18">
        <f t="shared" si="12"/>
        <v>207.5</v>
      </c>
      <c r="N132" s="19">
        <f t="shared" si="13"/>
        <v>45456</v>
      </c>
      <c r="O132" s="18" t="b">
        <f t="shared" si="11"/>
        <v>0</v>
      </c>
      <c r="P132" s="43" t="str">
        <f>IF(O132,swap_curve!$B$19,"")</f>
        <v/>
      </c>
      <c r="Q132" t="str">
        <f t="shared" si="14"/>
        <v/>
      </c>
      <c r="R132" t="str" cm="1">
        <f t="array" ref="R132">IF(O132,BSCall(swap_curve!$B$20,imvol!M132,imvol!P132,imvol!Q132,YEARFRAC(swap_curve!$C$1,imvol!N132)),"")</f>
        <v/>
      </c>
      <c r="S132" s="20" t="str">
        <f t="shared" si="10"/>
        <v/>
      </c>
    </row>
    <row r="133" spans="1:19" x14ac:dyDescent="0.3">
      <c r="A133" s="23" t="s">
        <v>152</v>
      </c>
      <c r="B133" s="23" t="s">
        <v>153</v>
      </c>
      <c r="C133" s="24" t="s">
        <v>23</v>
      </c>
      <c r="D133" s="24" t="s">
        <v>23</v>
      </c>
      <c r="E133" s="24" t="s">
        <v>23</v>
      </c>
      <c r="F133" s="24" t="s">
        <v>23</v>
      </c>
      <c r="G133" s="24" t="s">
        <v>23</v>
      </c>
      <c r="H133" s="24">
        <v>51.22</v>
      </c>
      <c r="I133" s="24">
        <v>155.4</v>
      </c>
      <c r="J133" s="25">
        <v>0</v>
      </c>
      <c r="K133" s="25">
        <v>0</v>
      </c>
      <c r="L133" s="25">
        <v>0</v>
      </c>
      <c r="M133" s="18">
        <f t="shared" si="12"/>
        <v>210</v>
      </c>
      <c r="N133" s="19">
        <f t="shared" si="13"/>
        <v>45456</v>
      </c>
      <c r="O133" s="18" t="b">
        <f t="shared" si="11"/>
        <v>0</v>
      </c>
      <c r="P133" s="43" t="str">
        <f>IF(O133,swap_curve!$B$19,"")</f>
        <v/>
      </c>
      <c r="Q133" t="str">
        <f t="shared" si="14"/>
        <v/>
      </c>
      <c r="R133" t="str" cm="1">
        <f t="array" ref="R133">IF(O133,BSCall(swap_curve!$B$20,imvol!M133,imvol!P133,imvol!Q133,YEARFRAC(swap_curve!$C$1,imvol!N133)),"")</f>
        <v/>
      </c>
      <c r="S133" s="20" t="str">
        <f t="shared" si="10"/>
        <v/>
      </c>
    </row>
    <row r="134" spans="1:19" x14ac:dyDescent="0.3">
      <c r="A134" s="23" t="s">
        <v>826</v>
      </c>
      <c r="B134" s="23" t="s">
        <v>827</v>
      </c>
      <c r="C134" s="24" t="s">
        <v>23</v>
      </c>
      <c r="D134" s="24" t="s">
        <v>23</v>
      </c>
      <c r="E134" s="24" t="s">
        <v>23</v>
      </c>
      <c r="F134" s="24" t="s">
        <v>23</v>
      </c>
      <c r="G134" s="24" t="s">
        <v>23</v>
      </c>
      <c r="H134" s="24">
        <v>50.51</v>
      </c>
      <c r="I134" s="24">
        <v>152.94999999999999</v>
      </c>
      <c r="J134" s="25">
        <v>0</v>
      </c>
      <c r="K134" s="25">
        <v>0</v>
      </c>
      <c r="L134" s="25">
        <v>0</v>
      </c>
      <c r="M134" s="18">
        <f t="shared" si="12"/>
        <v>212.5</v>
      </c>
      <c r="N134" s="19">
        <f t="shared" si="13"/>
        <v>45456</v>
      </c>
      <c r="O134" s="18" t="b">
        <f t="shared" si="11"/>
        <v>0</v>
      </c>
      <c r="P134" s="43" t="str">
        <f>IF(O134,swap_curve!$B$19,"")</f>
        <v/>
      </c>
      <c r="Q134" t="str">
        <f t="shared" si="14"/>
        <v/>
      </c>
      <c r="R134" t="str" cm="1">
        <f t="array" ref="R134">IF(O134,BSCall(swap_curve!$B$20,imvol!M134,imvol!P134,imvol!Q134,YEARFRAC(swap_curve!$C$1,imvol!N134)),"")</f>
        <v/>
      </c>
      <c r="S134" s="20" t="str">
        <f t="shared" si="10"/>
        <v/>
      </c>
    </row>
    <row r="135" spans="1:19" x14ac:dyDescent="0.3">
      <c r="A135" s="23" t="s">
        <v>154</v>
      </c>
      <c r="B135" s="23" t="s">
        <v>155</v>
      </c>
      <c r="C135" s="24" t="s">
        <v>23</v>
      </c>
      <c r="D135" s="24" t="s">
        <v>23</v>
      </c>
      <c r="E135" s="24" t="s">
        <v>23</v>
      </c>
      <c r="F135" s="24" t="s">
        <v>23</v>
      </c>
      <c r="G135" s="24" t="s">
        <v>23</v>
      </c>
      <c r="H135" s="24">
        <v>49.8</v>
      </c>
      <c r="I135" s="24">
        <v>150.44999999999999</v>
      </c>
      <c r="J135" s="25">
        <v>0</v>
      </c>
      <c r="K135" s="25">
        <v>0</v>
      </c>
      <c r="L135" s="25">
        <v>0</v>
      </c>
      <c r="M135" s="18">
        <f t="shared" si="12"/>
        <v>215</v>
      </c>
      <c r="N135" s="19">
        <f t="shared" si="13"/>
        <v>45456</v>
      </c>
      <c r="O135" s="18" t="b">
        <f t="shared" si="11"/>
        <v>0</v>
      </c>
      <c r="P135" s="43" t="str">
        <f>IF(O135,swap_curve!$B$19,"")</f>
        <v/>
      </c>
      <c r="Q135" t="str">
        <f t="shared" si="14"/>
        <v/>
      </c>
      <c r="R135" t="str" cm="1">
        <f t="array" ref="R135">IF(O135,BSCall(swap_curve!$B$20,imvol!M135,imvol!P135,imvol!Q135,YEARFRAC(swap_curve!$C$1,imvol!N135)),"")</f>
        <v/>
      </c>
      <c r="S135" s="20" t="str">
        <f t="shared" si="10"/>
        <v/>
      </c>
    </row>
    <row r="136" spans="1:19" x14ac:dyDescent="0.3">
      <c r="A136" s="23" t="s">
        <v>828</v>
      </c>
      <c r="B136" s="23" t="s">
        <v>829</v>
      </c>
      <c r="C136" s="24" t="s">
        <v>23</v>
      </c>
      <c r="D136" s="24" t="s">
        <v>23</v>
      </c>
      <c r="E136" s="24" t="s">
        <v>23</v>
      </c>
      <c r="F136" s="24" t="s">
        <v>23</v>
      </c>
      <c r="G136" s="24" t="s">
        <v>23</v>
      </c>
      <c r="H136" s="24">
        <v>49.09</v>
      </c>
      <c r="I136" s="24">
        <v>147.94999999999999</v>
      </c>
      <c r="J136" s="25">
        <v>0</v>
      </c>
      <c r="K136" s="25">
        <v>0</v>
      </c>
      <c r="L136" s="25">
        <v>0</v>
      </c>
      <c r="M136" s="18">
        <f t="shared" si="12"/>
        <v>217.5</v>
      </c>
      <c r="N136" s="19">
        <f t="shared" si="13"/>
        <v>45456</v>
      </c>
      <c r="O136" s="18" t="b">
        <f t="shared" si="11"/>
        <v>0</v>
      </c>
      <c r="P136" s="43" t="str">
        <f>IF(O136,swap_curve!$B$19,"")</f>
        <v/>
      </c>
      <c r="Q136" t="str">
        <f t="shared" si="14"/>
        <v/>
      </c>
      <c r="R136" t="str" cm="1">
        <f t="array" ref="R136">IF(O136,BSCall(swap_curve!$B$20,imvol!M136,imvol!P136,imvol!Q136,YEARFRAC(swap_curve!$C$1,imvol!N136)),"")</f>
        <v/>
      </c>
      <c r="S136" s="20" t="str">
        <f t="shared" si="10"/>
        <v/>
      </c>
    </row>
    <row r="137" spans="1:19" x14ac:dyDescent="0.3">
      <c r="A137" s="23" t="s">
        <v>156</v>
      </c>
      <c r="B137" s="23" t="s">
        <v>157</v>
      </c>
      <c r="C137" s="24" t="s">
        <v>23</v>
      </c>
      <c r="D137" s="24" t="s">
        <v>23</v>
      </c>
      <c r="E137" s="24" t="s">
        <v>23</v>
      </c>
      <c r="F137" s="24" t="s">
        <v>23</v>
      </c>
      <c r="G137" s="24" t="s">
        <v>23</v>
      </c>
      <c r="H137" s="24">
        <v>48.38</v>
      </c>
      <c r="I137" s="24">
        <v>145.44999999999999</v>
      </c>
      <c r="J137" s="25">
        <v>0</v>
      </c>
      <c r="K137" s="25">
        <v>0</v>
      </c>
      <c r="L137" s="25">
        <v>0</v>
      </c>
      <c r="M137" s="18">
        <f t="shared" si="12"/>
        <v>220</v>
      </c>
      <c r="N137" s="19">
        <f t="shared" si="13"/>
        <v>45456</v>
      </c>
      <c r="O137" s="18" t="b">
        <f t="shared" si="11"/>
        <v>0</v>
      </c>
      <c r="P137" s="43" t="str">
        <f>IF(O137,swap_curve!$B$19,"")</f>
        <v/>
      </c>
      <c r="Q137" t="str">
        <f t="shared" si="14"/>
        <v/>
      </c>
      <c r="R137" t="str" cm="1">
        <f t="array" ref="R137">IF(O137,BSCall(swap_curve!$B$20,imvol!M137,imvol!P137,imvol!Q137,YEARFRAC(swap_curve!$C$1,imvol!N137)),"")</f>
        <v/>
      </c>
      <c r="S137" s="20" t="str">
        <f t="shared" si="10"/>
        <v/>
      </c>
    </row>
    <row r="138" spans="1:19" x14ac:dyDescent="0.3">
      <c r="A138" s="23" t="s">
        <v>830</v>
      </c>
      <c r="B138" s="23" t="s">
        <v>831</v>
      </c>
      <c r="C138" s="24" t="s">
        <v>23</v>
      </c>
      <c r="D138" s="24" t="s">
        <v>23</v>
      </c>
      <c r="E138" s="24" t="s">
        <v>23</v>
      </c>
      <c r="F138" s="24" t="s">
        <v>23</v>
      </c>
      <c r="G138" s="24" t="s">
        <v>23</v>
      </c>
      <c r="H138" s="24">
        <v>47.67</v>
      </c>
      <c r="I138" s="24">
        <v>142.94999999999999</v>
      </c>
      <c r="J138" s="25">
        <v>0</v>
      </c>
      <c r="K138" s="25">
        <v>0</v>
      </c>
      <c r="L138" s="25">
        <v>0</v>
      </c>
      <c r="M138" s="18">
        <f t="shared" si="12"/>
        <v>222.5</v>
      </c>
      <c r="N138" s="19">
        <f t="shared" si="13"/>
        <v>45456</v>
      </c>
      <c r="O138" s="18" t="b">
        <f t="shared" si="11"/>
        <v>0</v>
      </c>
      <c r="P138" s="43" t="str">
        <f>IF(O138,swap_curve!$B$19,"")</f>
        <v/>
      </c>
      <c r="Q138" t="str">
        <f t="shared" si="14"/>
        <v/>
      </c>
      <c r="R138" t="str" cm="1">
        <f t="array" ref="R138">IF(O138,BSCall(swap_curve!$B$20,imvol!M138,imvol!P138,imvol!Q138,YEARFRAC(swap_curve!$C$1,imvol!N138)),"")</f>
        <v/>
      </c>
      <c r="S138" s="20" t="str">
        <f t="shared" si="10"/>
        <v/>
      </c>
    </row>
    <row r="139" spans="1:19" x14ac:dyDescent="0.3">
      <c r="A139" s="23" t="s">
        <v>158</v>
      </c>
      <c r="B139" s="23" t="s">
        <v>159</v>
      </c>
      <c r="C139" s="24" t="s">
        <v>23</v>
      </c>
      <c r="D139" s="24" t="s">
        <v>23</v>
      </c>
      <c r="E139" s="24" t="s">
        <v>23</v>
      </c>
      <c r="F139" s="24" t="s">
        <v>23</v>
      </c>
      <c r="G139" s="24" t="s">
        <v>23</v>
      </c>
      <c r="H139" s="24">
        <v>46.96</v>
      </c>
      <c r="I139" s="24">
        <v>140.5</v>
      </c>
      <c r="J139" s="25">
        <v>0</v>
      </c>
      <c r="K139" s="25">
        <v>0</v>
      </c>
      <c r="L139" s="25">
        <v>0</v>
      </c>
      <c r="M139" s="18">
        <f t="shared" si="12"/>
        <v>225</v>
      </c>
      <c r="N139" s="19">
        <f t="shared" si="13"/>
        <v>45456</v>
      </c>
      <c r="O139" s="18" t="b">
        <f t="shared" si="11"/>
        <v>0</v>
      </c>
      <c r="P139" s="43" t="str">
        <f>IF(O139,swap_curve!$B$19,"")</f>
        <v/>
      </c>
      <c r="Q139" t="str">
        <f t="shared" si="14"/>
        <v/>
      </c>
      <c r="R139" t="str" cm="1">
        <f t="array" ref="R139">IF(O139,BSCall(swap_curve!$B$20,imvol!M139,imvol!P139,imvol!Q139,YEARFRAC(swap_curve!$C$1,imvol!N139)),"")</f>
        <v/>
      </c>
      <c r="S139" s="20" t="str">
        <f t="shared" si="10"/>
        <v/>
      </c>
    </row>
    <row r="140" spans="1:19" x14ac:dyDescent="0.3">
      <c r="A140" s="23" t="s">
        <v>832</v>
      </c>
      <c r="B140" s="23" t="s">
        <v>833</v>
      </c>
      <c r="C140" s="24" t="s">
        <v>23</v>
      </c>
      <c r="D140" s="24" t="s">
        <v>23</v>
      </c>
      <c r="E140" s="24" t="s">
        <v>23</v>
      </c>
      <c r="F140" s="24" t="s">
        <v>23</v>
      </c>
      <c r="G140" s="24" t="s">
        <v>23</v>
      </c>
      <c r="H140" s="24">
        <v>46.25</v>
      </c>
      <c r="I140" s="24">
        <v>138</v>
      </c>
      <c r="J140" s="25">
        <v>0</v>
      </c>
      <c r="K140" s="25">
        <v>0</v>
      </c>
      <c r="L140" s="25">
        <v>0</v>
      </c>
      <c r="M140" s="18">
        <f t="shared" si="12"/>
        <v>227.5</v>
      </c>
      <c r="N140" s="19">
        <f t="shared" si="13"/>
        <v>45456</v>
      </c>
      <c r="O140" s="18" t="b">
        <f t="shared" si="11"/>
        <v>0</v>
      </c>
      <c r="P140" s="43" t="str">
        <f>IF(O140,swap_curve!$B$19,"")</f>
        <v/>
      </c>
      <c r="Q140" t="str">
        <f t="shared" si="14"/>
        <v/>
      </c>
      <c r="R140" t="str" cm="1">
        <f t="array" ref="R140">IF(O140,BSCall(swap_curve!$B$20,imvol!M140,imvol!P140,imvol!Q140,YEARFRAC(swap_curve!$C$1,imvol!N140)),"")</f>
        <v/>
      </c>
      <c r="S140" s="20" t="str">
        <f t="shared" si="10"/>
        <v/>
      </c>
    </row>
    <row r="141" spans="1:19" x14ac:dyDescent="0.3">
      <c r="A141" s="23" t="s">
        <v>160</v>
      </c>
      <c r="B141" s="23" t="s">
        <v>161</v>
      </c>
      <c r="C141" s="24" t="s">
        <v>23</v>
      </c>
      <c r="D141" s="24" t="s">
        <v>23</v>
      </c>
      <c r="E141" s="24" t="s">
        <v>23</v>
      </c>
      <c r="F141" s="24" t="s">
        <v>23</v>
      </c>
      <c r="G141" s="24" t="s">
        <v>23</v>
      </c>
      <c r="H141" s="24">
        <v>45.54</v>
      </c>
      <c r="I141" s="24">
        <v>135.5</v>
      </c>
      <c r="J141" s="25">
        <v>0</v>
      </c>
      <c r="K141" s="25">
        <v>0</v>
      </c>
      <c r="L141" s="25">
        <v>7</v>
      </c>
      <c r="M141" s="18">
        <f t="shared" si="12"/>
        <v>230</v>
      </c>
      <c r="N141" s="19">
        <f t="shared" si="13"/>
        <v>45456</v>
      </c>
      <c r="O141" s="18" t="b">
        <f t="shared" si="11"/>
        <v>0</v>
      </c>
      <c r="P141" s="43" t="str">
        <f>IF(O141,swap_curve!$B$19,"")</f>
        <v/>
      </c>
      <c r="Q141" t="str">
        <f t="shared" si="14"/>
        <v/>
      </c>
      <c r="R141" t="str" cm="1">
        <f t="array" ref="R141">IF(O141,BSCall(swap_curve!$B$20,imvol!M141,imvol!P141,imvol!Q141,YEARFRAC(swap_curve!$C$1,imvol!N141)),"")</f>
        <v/>
      </c>
      <c r="S141" s="20" t="str">
        <f t="shared" si="10"/>
        <v/>
      </c>
    </row>
    <row r="142" spans="1:19" x14ac:dyDescent="0.3">
      <c r="A142" s="23" t="s">
        <v>834</v>
      </c>
      <c r="B142" s="23" t="s">
        <v>835</v>
      </c>
      <c r="C142" s="24" t="s">
        <v>23</v>
      </c>
      <c r="D142" s="24" t="s">
        <v>23</v>
      </c>
      <c r="E142" s="24" t="s">
        <v>23</v>
      </c>
      <c r="F142" s="24" t="s">
        <v>23</v>
      </c>
      <c r="G142" s="24" t="s">
        <v>23</v>
      </c>
      <c r="H142" s="24">
        <v>44.83</v>
      </c>
      <c r="I142" s="24">
        <v>133</v>
      </c>
      <c r="J142" s="25">
        <v>0</v>
      </c>
      <c r="K142" s="25">
        <v>0</v>
      </c>
      <c r="L142" s="25">
        <v>0</v>
      </c>
      <c r="M142" s="18">
        <f t="shared" si="12"/>
        <v>232.5</v>
      </c>
      <c r="N142" s="19">
        <f t="shared" si="13"/>
        <v>45456</v>
      </c>
      <c r="O142" s="18" t="b">
        <f t="shared" si="11"/>
        <v>0</v>
      </c>
      <c r="P142" s="43" t="str">
        <f>IF(O142,swap_curve!$B$19,"")</f>
        <v/>
      </c>
      <c r="Q142" t="str">
        <f t="shared" si="14"/>
        <v/>
      </c>
      <c r="R142" t="str" cm="1">
        <f t="array" ref="R142">IF(O142,BSCall(swap_curve!$B$20,imvol!M142,imvol!P142,imvol!Q142,YEARFRAC(swap_curve!$C$1,imvol!N142)),"")</f>
        <v/>
      </c>
      <c r="S142" s="20" t="str">
        <f t="shared" si="10"/>
        <v/>
      </c>
    </row>
    <row r="143" spans="1:19" x14ac:dyDescent="0.3">
      <c r="A143" s="23" t="s">
        <v>162</v>
      </c>
      <c r="B143" s="23" t="s">
        <v>163</v>
      </c>
      <c r="C143" s="24" t="s">
        <v>23</v>
      </c>
      <c r="D143" s="24" t="s">
        <v>23</v>
      </c>
      <c r="E143" s="24" t="s">
        <v>23</v>
      </c>
      <c r="F143" s="24" t="s">
        <v>23</v>
      </c>
      <c r="G143" s="24" t="s">
        <v>23</v>
      </c>
      <c r="H143" s="24">
        <v>44.12</v>
      </c>
      <c r="I143" s="24">
        <v>130.55000000000001</v>
      </c>
      <c r="J143" s="25">
        <v>0</v>
      </c>
      <c r="K143" s="25">
        <v>0</v>
      </c>
      <c r="L143" s="25">
        <v>2</v>
      </c>
      <c r="M143" s="18">
        <f t="shared" si="12"/>
        <v>235</v>
      </c>
      <c r="N143" s="19">
        <f t="shared" si="13"/>
        <v>45456</v>
      </c>
      <c r="O143" s="18" t="b">
        <f t="shared" si="11"/>
        <v>0</v>
      </c>
      <c r="P143" s="43" t="str">
        <f>IF(O143,swap_curve!$B$19,"")</f>
        <v/>
      </c>
      <c r="Q143" t="str">
        <f t="shared" si="14"/>
        <v/>
      </c>
      <c r="R143" t="str" cm="1">
        <f t="array" ref="R143">IF(O143,BSCall(swap_curve!$B$20,imvol!M143,imvol!P143,imvol!Q143,YEARFRAC(swap_curve!$C$1,imvol!N143)),"")</f>
        <v/>
      </c>
      <c r="S143" s="20" t="str">
        <f t="shared" si="10"/>
        <v/>
      </c>
    </row>
    <row r="144" spans="1:19" x14ac:dyDescent="0.3">
      <c r="A144" s="23" t="s">
        <v>836</v>
      </c>
      <c r="B144" s="23" t="s">
        <v>837</v>
      </c>
      <c r="C144" s="24" t="s">
        <v>23</v>
      </c>
      <c r="D144" s="24" t="s">
        <v>23</v>
      </c>
      <c r="E144" s="24" t="s">
        <v>23</v>
      </c>
      <c r="F144" s="24" t="s">
        <v>23</v>
      </c>
      <c r="G144" s="24" t="s">
        <v>23</v>
      </c>
      <c r="H144" s="24">
        <v>43.41</v>
      </c>
      <c r="I144" s="24">
        <v>128.05000000000001</v>
      </c>
      <c r="J144" s="25">
        <v>0</v>
      </c>
      <c r="K144" s="25">
        <v>0</v>
      </c>
      <c r="L144" s="25">
        <v>0</v>
      </c>
      <c r="M144" s="18">
        <f t="shared" si="12"/>
        <v>237.5</v>
      </c>
      <c r="N144" s="19">
        <f t="shared" si="13"/>
        <v>45456</v>
      </c>
      <c r="O144" s="18" t="b">
        <f t="shared" si="11"/>
        <v>0</v>
      </c>
      <c r="P144" s="43" t="str">
        <f>IF(O144,swap_curve!$B$19,"")</f>
        <v/>
      </c>
      <c r="Q144" t="str">
        <f t="shared" si="14"/>
        <v/>
      </c>
      <c r="R144" t="str" cm="1">
        <f t="array" ref="R144">IF(O144,BSCall(swap_curve!$B$20,imvol!M144,imvol!P144,imvol!Q144,YEARFRAC(swap_curve!$C$1,imvol!N144)),"")</f>
        <v/>
      </c>
      <c r="S144" s="20" t="str">
        <f t="shared" si="10"/>
        <v/>
      </c>
    </row>
    <row r="145" spans="1:19" x14ac:dyDescent="0.3">
      <c r="A145" s="23" t="s">
        <v>164</v>
      </c>
      <c r="B145" s="23" t="s">
        <v>165</v>
      </c>
      <c r="C145" s="24" t="s">
        <v>23</v>
      </c>
      <c r="D145" s="24" t="s">
        <v>23</v>
      </c>
      <c r="E145" s="24" t="s">
        <v>23</v>
      </c>
      <c r="F145" s="24" t="s">
        <v>23</v>
      </c>
      <c r="G145" s="24" t="s">
        <v>23</v>
      </c>
      <c r="H145" s="24">
        <v>42.7</v>
      </c>
      <c r="I145" s="24">
        <v>125.55</v>
      </c>
      <c r="J145" s="25">
        <v>0</v>
      </c>
      <c r="K145" s="25">
        <v>0</v>
      </c>
      <c r="L145" s="25">
        <v>2</v>
      </c>
      <c r="M145" s="18">
        <f t="shared" si="12"/>
        <v>240</v>
      </c>
      <c r="N145" s="19">
        <f t="shared" si="13"/>
        <v>45456</v>
      </c>
      <c r="O145" s="18" t="b">
        <f t="shared" si="11"/>
        <v>0</v>
      </c>
      <c r="P145" s="43" t="str">
        <f>IF(O145,swap_curve!$B$19,"")</f>
        <v/>
      </c>
      <c r="Q145" t="str">
        <f t="shared" si="14"/>
        <v/>
      </c>
      <c r="R145" t="str" cm="1">
        <f t="array" ref="R145">IF(O145,BSCall(swap_curve!$B$20,imvol!M145,imvol!P145,imvol!Q145,YEARFRAC(swap_curve!$C$1,imvol!N145)),"")</f>
        <v/>
      </c>
      <c r="S145" s="20" t="str">
        <f t="shared" si="10"/>
        <v/>
      </c>
    </row>
    <row r="146" spans="1:19" x14ac:dyDescent="0.3">
      <c r="A146" s="23" t="s">
        <v>838</v>
      </c>
      <c r="B146" s="23" t="s">
        <v>839</v>
      </c>
      <c r="C146" s="24" t="s">
        <v>23</v>
      </c>
      <c r="D146" s="24" t="s">
        <v>23</v>
      </c>
      <c r="E146" s="24" t="s">
        <v>23</v>
      </c>
      <c r="F146" s="24" t="s">
        <v>23</v>
      </c>
      <c r="G146" s="24" t="s">
        <v>23</v>
      </c>
      <c r="H146" s="24">
        <v>42</v>
      </c>
      <c r="I146" s="24">
        <v>123.05</v>
      </c>
      <c r="J146" s="25">
        <v>0</v>
      </c>
      <c r="K146" s="25">
        <v>0</v>
      </c>
      <c r="L146" s="25">
        <v>0</v>
      </c>
      <c r="M146" s="18">
        <f t="shared" si="12"/>
        <v>242.5</v>
      </c>
      <c r="N146" s="19">
        <f t="shared" si="13"/>
        <v>45456</v>
      </c>
      <c r="O146" s="18" t="b">
        <f t="shared" si="11"/>
        <v>0</v>
      </c>
      <c r="P146" s="43" t="str">
        <f>IF(O146,swap_curve!$B$19,"")</f>
        <v/>
      </c>
      <c r="Q146" t="str">
        <f t="shared" si="14"/>
        <v/>
      </c>
      <c r="R146" t="str" cm="1">
        <f t="array" ref="R146">IF(O146,BSCall(swap_curve!$B$20,imvol!M146,imvol!P146,imvol!Q146,YEARFRAC(swap_curve!$C$1,imvol!N146)),"")</f>
        <v/>
      </c>
      <c r="S146" s="20" t="str">
        <f t="shared" si="10"/>
        <v/>
      </c>
    </row>
    <row r="147" spans="1:19" x14ac:dyDescent="0.3">
      <c r="A147" s="23" t="s">
        <v>166</v>
      </c>
      <c r="B147" s="23" t="s">
        <v>167</v>
      </c>
      <c r="C147" s="24" t="s">
        <v>23</v>
      </c>
      <c r="D147" s="24" t="s">
        <v>23</v>
      </c>
      <c r="E147" s="24" t="s">
        <v>23</v>
      </c>
      <c r="F147" s="24" t="s">
        <v>23</v>
      </c>
      <c r="G147" s="24" t="s">
        <v>23</v>
      </c>
      <c r="H147" s="24">
        <v>41.29</v>
      </c>
      <c r="I147" s="24">
        <v>120.6</v>
      </c>
      <c r="J147" s="25">
        <v>0</v>
      </c>
      <c r="K147" s="25">
        <v>0</v>
      </c>
      <c r="L147" s="25">
        <v>1</v>
      </c>
      <c r="M147" s="18">
        <f t="shared" si="12"/>
        <v>245</v>
      </c>
      <c r="N147" s="19">
        <f t="shared" si="13"/>
        <v>45456</v>
      </c>
      <c r="O147" s="18" t="b">
        <f t="shared" si="11"/>
        <v>0</v>
      </c>
      <c r="P147" s="43" t="str">
        <f>IF(O147,swap_curve!$B$19,"")</f>
        <v/>
      </c>
      <c r="Q147" t="str">
        <f t="shared" si="14"/>
        <v/>
      </c>
      <c r="R147" t="str" cm="1">
        <f t="array" ref="R147">IF(O147,BSCall(swap_curve!$B$20,imvol!M147,imvol!P147,imvol!Q147,YEARFRAC(swap_curve!$C$1,imvol!N147)),"")</f>
        <v/>
      </c>
      <c r="S147" s="20" t="str">
        <f t="shared" si="10"/>
        <v/>
      </c>
    </row>
    <row r="148" spans="1:19" x14ac:dyDescent="0.3">
      <c r="A148" s="23" t="s">
        <v>840</v>
      </c>
      <c r="B148" s="23" t="s">
        <v>841</v>
      </c>
      <c r="C148" s="24" t="s">
        <v>23</v>
      </c>
      <c r="D148" s="24" t="s">
        <v>23</v>
      </c>
      <c r="E148" s="24" t="s">
        <v>23</v>
      </c>
      <c r="F148" s="24" t="s">
        <v>23</v>
      </c>
      <c r="G148" s="24" t="s">
        <v>23</v>
      </c>
      <c r="H148" s="24">
        <v>40.58</v>
      </c>
      <c r="I148" s="24">
        <v>118.1</v>
      </c>
      <c r="J148" s="25">
        <v>0</v>
      </c>
      <c r="K148" s="25">
        <v>0</v>
      </c>
      <c r="L148" s="25">
        <v>0</v>
      </c>
      <c r="M148" s="18">
        <f t="shared" si="12"/>
        <v>247.5</v>
      </c>
      <c r="N148" s="19">
        <f t="shared" si="13"/>
        <v>45456</v>
      </c>
      <c r="O148" s="18" t="b">
        <f t="shared" si="11"/>
        <v>0</v>
      </c>
      <c r="P148" s="43" t="str">
        <f>IF(O148,swap_curve!$B$19,"")</f>
        <v/>
      </c>
      <c r="Q148" t="str">
        <f t="shared" si="14"/>
        <v/>
      </c>
      <c r="R148" t="str" cm="1">
        <f t="array" ref="R148">IF(O148,BSCall(swap_curve!$B$20,imvol!M148,imvol!P148,imvol!Q148,YEARFRAC(swap_curve!$C$1,imvol!N148)),"")</f>
        <v/>
      </c>
      <c r="S148" s="20" t="str">
        <f t="shared" si="10"/>
        <v/>
      </c>
    </row>
    <row r="149" spans="1:19" x14ac:dyDescent="0.3">
      <c r="A149" s="23" t="s">
        <v>168</v>
      </c>
      <c r="B149" s="23" t="s">
        <v>169</v>
      </c>
      <c r="C149" s="24" t="s">
        <v>23</v>
      </c>
      <c r="D149" s="24" t="s">
        <v>23</v>
      </c>
      <c r="E149" s="24" t="s">
        <v>23</v>
      </c>
      <c r="F149" s="24" t="s">
        <v>23</v>
      </c>
      <c r="G149" s="24" t="s">
        <v>23</v>
      </c>
      <c r="H149" s="24">
        <v>39.869999999999997</v>
      </c>
      <c r="I149" s="24">
        <v>115.6</v>
      </c>
      <c r="J149" s="25">
        <v>0</v>
      </c>
      <c r="K149" s="25">
        <v>0</v>
      </c>
      <c r="L149" s="25">
        <v>3</v>
      </c>
      <c r="M149" s="18">
        <f t="shared" si="12"/>
        <v>250</v>
      </c>
      <c r="N149" s="19">
        <f t="shared" si="13"/>
        <v>45456</v>
      </c>
      <c r="O149" s="18" t="b">
        <f t="shared" si="11"/>
        <v>0</v>
      </c>
      <c r="P149" s="43" t="str">
        <f>IF(O149,swap_curve!$B$19,"")</f>
        <v/>
      </c>
      <c r="Q149" t="str">
        <f t="shared" si="14"/>
        <v/>
      </c>
      <c r="R149" t="str" cm="1">
        <f t="array" ref="R149">IF(O149,BSCall(swap_curve!$B$20,imvol!M149,imvol!P149,imvol!Q149,YEARFRAC(swap_curve!$C$1,imvol!N149)),"")</f>
        <v/>
      </c>
      <c r="S149" s="20" t="str">
        <f t="shared" si="10"/>
        <v/>
      </c>
    </row>
    <row r="150" spans="1:19" x14ac:dyDescent="0.3">
      <c r="A150" s="23" t="s">
        <v>842</v>
      </c>
      <c r="B150" s="23" t="s">
        <v>843</v>
      </c>
      <c r="C150" s="24" t="s">
        <v>23</v>
      </c>
      <c r="D150" s="24" t="s">
        <v>23</v>
      </c>
      <c r="E150" s="24" t="s">
        <v>23</v>
      </c>
      <c r="F150" s="24" t="s">
        <v>23</v>
      </c>
      <c r="G150" s="24" t="s">
        <v>23</v>
      </c>
      <c r="H150" s="24">
        <v>39.159999999999997</v>
      </c>
      <c r="I150" s="24">
        <v>113.15</v>
      </c>
      <c r="J150" s="25">
        <v>0</v>
      </c>
      <c r="K150" s="25">
        <v>0</v>
      </c>
      <c r="L150" s="25">
        <v>0</v>
      </c>
      <c r="M150" s="18">
        <f t="shared" si="12"/>
        <v>252.5</v>
      </c>
      <c r="N150" s="19">
        <f t="shared" si="13"/>
        <v>45456</v>
      </c>
      <c r="O150" s="18" t="b">
        <f t="shared" si="11"/>
        <v>0</v>
      </c>
      <c r="P150" s="43" t="str">
        <f>IF(O150,swap_curve!$B$19,"")</f>
        <v/>
      </c>
      <c r="Q150" t="str">
        <f t="shared" si="14"/>
        <v/>
      </c>
      <c r="R150" t="str" cm="1">
        <f t="array" ref="R150">IF(O150,BSCall(swap_curve!$B$20,imvol!M150,imvol!P150,imvol!Q150,YEARFRAC(swap_curve!$C$1,imvol!N150)),"")</f>
        <v/>
      </c>
      <c r="S150" s="20" t="str">
        <f t="shared" si="10"/>
        <v/>
      </c>
    </row>
    <row r="151" spans="1:19" x14ac:dyDescent="0.3">
      <c r="A151" s="23" t="s">
        <v>170</v>
      </c>
      <c r="B151" s="23" t="s">
        <v>171</v>
      </c>
      <c r="C151" s="24" t="s">
        <v>23</v>
      </c>
      <c r="D151" s="24" t="s">
        <v>23</v>
      </c>
      <c r="E151" s="24" t="s">
        <v>23</v>
      </c>
      <c r="F151" s="24" t="s">
        <v>23</v>
      </c>
      <c r="G151" s="24" t="s">
        <v>23</v>
      </c>
      <c r="H151" s="24">
        <v>38.450000000000003</v>
      </c>
      <c r="I151" s="24">
        <v>110.65</v>
      </c>
      <c r="J151" s="25">
        <v>0</v>
      </c>
      <c r="K151" s="25">
        <v>0</v>
      </c>
      <c r="L151" s="25">
        <v>1</v>
      </c>
      <c r="M151" s="18">
        <f t="shared" si="12"/>
        <v>255</v>
      </c>
      <c r="N151" s="19">
        <f t="shared" si="13"/>
        <v>45456</v>
      </c>
      <c r="O151" s="18" t="b">
        <f t="shared" si="11"/>
        <v>0</v>
      </c>
      <c r="P151" s="43" t="str">
        <f>IF(O151,swap_curve!$B$19,"")</f>
        <v/>
      </c>
      <c r="Q151" t="str">
        <f t="shared" si="14"/>
        <v/>
      </c>
      <c r="R151" t="str" cm="1">
        <f t="array" ref="R151">IF(O151,BSCall(swap_curve!$B$20,imvol!M151,imvol!P151,imvol!Q151,YEARFRAC(swap_curve!$C$1,imvol!N151)),"")</f>
        <v/>
      </c>
      <c r="S151" s="20" t="str">
        <f t="shared" si="10"/>
        <v/>
      </c>
    </row>
    <row r="152" spans="1:19" x14ac:dyDescent="0.3">
      <c r="A152" s="23" t="s">
        <v>844</v>
      </c>
      <c r="B152" s="23" t="s">
        <v>845</v>
      </c>
      <c r="C152" s="24" t="s">
        <v>23</v>
      </c>
      <c r="D152" s="24" t="s">
        <v>23</v>
      </c>
      <c r="E152" s="24" t="s">
        <v>23</v>
      </c>
      <c r="F152" s="24" t="s">
        <v>23</v>
      </c>
      <c r="G152" s="24" t="s">
        <v>23</v>
      </c>
      <c r="H152" s="24">
        <v>37.74</v>
      </c>
      <c r="I152" s="24">
        <v>108.15</v>
      </c>
      <c r="J152" s="25">
        <v>0</v>
      </c>
      <c r="K152" s="25">
        <v>0</v>
      </c>
      <c r="L152" s="25">
        <v>0</v>
      </c>
      <c r="M152" s="18">
        <f t="shared" si="12"/>
        <v>257.5</v>
      </c>
      <c r="N152" s="19">
        <f t="shared" si="13"/>
        <v>45456</v>
      </c>
      <c r="O152" s="18" t="b">
        <f t="shared" si="11"/>
        <v>0</v>
      </c>
      <c r="P152" s="43" t="str">
        <f>IF(O152,swap_curve!$B$19,"")</f>
        <v/>
      </c>
      <c r="Q152" t="str">
        <f t="shared" si="14"/>
        <v/>
      </c>
      <c r="R152" t="str" cm="1">
        <f t="array" ref="R152">IF(O152,BSCall(swap_curve!$B$20,imvol!M152,imvol!P152,imvol!Q152,YEARFRAC(swap_curve!$C$1,imvol!N152)),"")</f>
        <v/>
      </c>
      <c r="S152" s="20" t="str">
        <f t="shared" si="10"/>
        <v/>
      </c>
    </row>
    <row r="153" spans="1:19" x14ac:dyDescent="0.3">
      <c r="A153" s="23" t="s">
        <v>172</v>
      </c>
      <c r="B153" s="23" t="s">
        <v>173</v>
      </c>
      <c r="C153" s="24" t="s">
        <v>23</v>
      </c>
      <c r="D153" s="24" t="s">
        <v>23</v>
      </c>
      <c r="E153" s="24" t="s">
        <v>23</v>
      </c>
      <c r="F153" s="24" t="s">
        <v>23</v>
      </c>
      <c r="G153" s="24" t="s">
        <v>23</v>
      </c>
      <c r="H153" s="24">
        <v>37.03</v>
      </c>
      <c r="I153" s="24">
        <v>105.65</v>
      </c>
      <c r="J153" s="25">
        <v>0</v>
      </c>
      <c r="K153" s="25">
        <v>0</v>
      </c>
      <c r="L153" s="25">
        <v>5</v>
      </c>
      <c r="M153" s="18">
        <f t="shared" si="12"/>
        <v>260</v>
      </c>
      <c r="N153" s="19">
        <f t="shared" si="13"/>
        <v>45456</v>
      </c>
      <c r="O153" s="18" t="b">
        <f t="shared" si="11"/>
        <v>0</v>
      </c>
      <c r="P153" s="43" t="str">
        <f>IF(O153,swap_curve!$B$19,"")</f>
        <v/>
      </c>
      <c r="Q153" t="str">
        <f t="shared" si="14"/>
        <v/>
      </c>
      <c r="R153" t="str" cm="1">
        <f t="array" ref="R153">IF(O153,BSCall(swap_curve!$B$20,imvol!M153,imvol!P153,imvol!Q153,YEARFRAC(swap_curve!$C$1,imvol!N153)),"")</f>
        <v/>
      </c>
      <c r="S153" s="20" t="str">
        <f t="shared" si="10"/>
        <v/>
      </c>
    </row>
    <row r="154" spans="1:19" x14ac:dyDescent="0.3">
      <c r="A154" s="23" t="s">
        <v>846</v>
      </c>
      <c r="B154" s="23" t="s">
        <v>847</v>
      </c>
      <c r="C154" s="24" t="s">
        <v>23</v>
      </c>
      <c r="D154" s="24" t="s">
        <v>23</v>
      </c>
      <c r="E154" s="24" t="s">
        <v>23</v>
      </c>
      <c r="F154" s="24" t="s">
        <v>23</v>
      </c>
      <c r="G154" s="24" t="s">
        <v>23</v>
      </c>
      <c r="H154" s="24">
        <v>36.32</v>
      </c>
      <c r="I154" s="24">
        <v>103.2</v>
      </c>
      <c r="J154" s="25">
        <v>0</v>
      </c>
      <c r="K154" s="25">
        <v>0</v>
      </c>
      <c r="L154" s="25">
        <v>0</v>
      </c>
      <c r="M154" s="18">
        <f t="shared" si="12"/>
        <v>262.5</v>
      </c>
      <c r="N154" s="19">
        <f t="shared" si="13"/>
        <v>45456</v>
      </c>
      <c r="O154" s="18" t="b">
        <f t="shared" si="11"/>
        <v>0</v>
      </c>
      <c r="P154" s="43" t="str">
        <f>IF(O154,swap_curve!$B$19,"")</f>
        <v/>
      </c>
      <c r="Q154" t="str">
        <f t="shared" si="14"/>
        <v/>
      </c>
      <c r="R154" t="str" cm="1">
        <f t="array" ref="R154">IF(O154,BSCall(swap_curve!$B$20,imvol!M154,imvol!P154,imvol!Q154,YEARFRAC(swap_curve!$C$1,imvol!N154)),"")</f>
        <v/>
      </c>
      <c r="S154" s="20" t="str">
        <f t="shared" si="10"/>
        <v/>
      </c>
    </row>
    <row r="155" spans="1:19" x14ac:dyDescent="0.3">
      <c r="A155" s="23" t="s">
        <v>174</v>
      </c>
      <c r="B155" s="23" t="s">
        <v>175</v>
      </c>
      <c r="C155" s="24" t="s">
        <v>23</v>
      </c>
      <c r="D155" s="24" t="s">
        <v>23</v>
      </c>
      <c r="E155" s="24" t="s">
        <v>23</v>
      </c>
      <c r="F155" s="24" t="s">
        <v>23</v>
      </c>
      <c r="G155" s="24" t="s">
        <v>23</v>
      </c>
      <c r="H155" s="24">
        <v>35.61</v>
      </c>
      <c r="I155" s="24">
        <v>100.7</v>
      </c>
      <c r="J155" s="25">
        <v>0</v>
      </c>
      <c r="K155" s="25">
        <v>0</v>
      </c>
      <c r="L155" s="25">
        <v>3</v>
      </c>
      <c r="M155" s="18">
        <f t="shared" si="12"/>
        <v>265</v>
      </c>
      <c r="N155" s="19">
        <f t="shared" si="13"/>
        <v>45456</v>
      </c>
      <c r="O155" s="18" t="b">
        <f t="shared" si="11"/>
        <v>0</v>
      </c>
      <c r="P155" s="43" t="str">
        <f>IF(O155,swap_curve!$B$19,"")</f>
        <v/>
      </c>
      <c r="Q155" t="str">
        <f t="shared" si="14"/>
        <v/>
      </c>
      <c r="R155" t="str" cm="1">
        <f t="array" ref="R155">IF(O155,BSCall(swap_curve!$B$20,imvol!M155,imvol!P155,imvol!Q155,YEARFRAC(swap_curve!$C$1,imvol!N155)),"")</f>
        <v/>
      </c>
      <c r="S155" s="20" t="str">
        <f t="shared" si="10"/>
        <v/>
      </c>
    </row>
    <row r="156" spans="1:19" x14ac:dyDescent="0.3">
      <c r="A156" s="23" t="s">
        <v>848</v>
      </c>
      <c r="B156" s="23" t="s">
        <v>849</v>
      </c>
      <c r="C156" s="24" t="s">
        <v>23</v>
      </c>
      <c r="D156" s="24" t="s">
        <v>23</v>
      </c>
      <c r="E156" s="24" t="s">
        <v>23</v>
      </c>
      <c r="F156" s="24" t="s">
        <v>23</v>
      </c>
      <c r="G156" s="24" t="s">
        <v>23</v>
      </c>
      <c r="H156" s="24">
        <v>34.9</v>
      </c>
      <c r="I156" s="24">
        <v>98.2</v>
      </c>
      <c r="J156" s="25">
        <v>0</v>
      </c>
      <c r="K156" s="25">
        <v>0</v>
      </c>
      <c r="L156" s="25">
        <v>0</v>
      </c>
      <c r="M156" s="18">
        <f t="shared" si="12"/>
        <v>267.5</v>
      </c>
      <c r="N156" s="19">
        <f t="shared" si="13"/>
        <v>45456</v>
      </c>
      <c r="O156" s="18" t="b">
        <f t="shared" si="11"/>
        <v>0</v>
      </c>
      <c r="P156" s="43" t="str">
        <f>IF(O156,swap_curve!$B$19,"")</f>
        <v/>
      </c>
      <c r="Q156" t="str">
        <f t="shared" si="14"/>
        <v/>
      </c>
      <c r="R156" t="str" cm="1">
        <f t="array" ref="R156">IF(O156,BSCall(swap_curve!$B$20,imvol!M156,imvol!P156,imvol!Q156,YEARFRAC(swap_curve!$C$1,imvol!N156)),"")</f>
        <v/>
      </c>
      <c r="S156" s="20" t="str">
        <f t="shared" si="10"/>
        <v/>
      </c>
    </row>
    <row r="157" spans="1:19" x14ac:dyDescent="0.3">
      <c r="A157" s="23" t="s">
        <v>176</v>
      </c>
      <c r="B157" s="23" t="s">
        <v>177</v>
      </c>
      <c r="C157" s="24" t="s">
        <v>23</v>
      </c>
      <c r="D157" s="24" t="s">
        <v>23</v>
      </c>
      <c r="E157" s="24" t="s">
        <v>23</v>
      </c>
      <c r="F157" s="24" t="s">
        <v>23</v>
      </c>
      <c r="G157" s="24" t="s">
        <v>23</v>
      </c>
      <c r="H157" s="24">
        <v>34.19</v>
      </c>
      <c r="I157" s="24">
        <v>95.75</v>
      </c>
      <c r="J157" s="25">
        <v>0</v>
      </c>
      <c r="K157" s="25">
        <v>0</v>
      </c>
      <c r="L157" s="25">
        <v>1</v>
      </c>
      <c r="M157" s="18">
        <f t="shared" si="12"/>
        <v>270</v>
      </c>
      <c r="N157" s="19">
        <f t="shared" si="13"/>
        <v>45456</v>
      </c>
      <c r="O157" s="18" t="b">
        <f t="shared" si="11"/>
        <v>0</v>
      </c>
      <c r="P157" s="43" t="str">
        <f>IF(O157,swap_curve!$B$19,"")</f>
        <v/>
      </c>
      <c r="Q157" t="str">
        <f t="shared" si="14"/>
        <v/>
      </c>
      <c r="R157" t="str" cm="1">
        <f t="array" ref="R157">IF(O157,BSCall(swap_curve!$B$20,imvol!M157,imvol!P157,imvol!Q157,YEARFRAC(swap_curve!$C$1,imvol!N157)),"")</f>
        <v/>
      </c>
      <c r="S157" s="20" t="str">
        <f t="shared" si="10"/>
        <v/>
      </c>
    </row>
    <row r="158" spans="1:19" x14ac:dyDescent="0.3">
      <c r="A158" s="23" t="s">
        <v>850</v>
      </c>
      <c r="B158" s="23" t="s">
        <v>851</v>
      </c>
      <c r="C158" s="24" t="s">
        <v>23</v>
      </c>
      <c r="D158" s="24" t="s">
        <v>23</v>
      </c>
      <c r="E158" s="24" t="s">
        <v>23</v>
      </c>
      <c r="F158" s="24" t="s">
        <v>23</v>
      </c>
      <c r="G158" s="24" t="s">
        <v>23</v>
      </c>
      <c r="H158" s="24">
        <v>33.479999999999997</v>
      </c>
      <c r="I158" s="24">
        <v>93.25</v>
      </c>
      <c r="J158" s="25">
        <v>0</v>
      </c>
      <c r="K158" s="25">
        <v>0</v>
      </c>
      <c r="L158" s="25">
        <v>0</v>
      </c>
      <c r="M158" s="18">
        <f t="shared" si="12"/>
        <v>272.5</v>
      </c>
      <c r="N158" s="19">
        <f t="shared" si="13"/>
        <v>45456</v>
      </c>
      <c r="O158" s="18" t="b">
        <f t="shared" si="11"/>
        <v>0</v>
      </c>
      <c r="P158" s="43" t="str">
        <f>IF(O158,swap_curve!$B$19,"")</f>
        <v/>
      </c>
      <c r="Q158" t="str">
        <f t="shared" si="14"/>
        <v/>
      </c>
      <c r="R158" t="str" cm="1">
        <f t="array" ref="R158">IF(O158,BSCall(swap_curve!$B$20,imvol!M158,imvol!P158,imvol!Q158,YEARFRAC(swap_curve!$C$1,imvol!N158)),"")</f>
        <v/>
      </c>
      <c r="S158" s="20" t="str">
        <f t="shared" si="10"/>
        <v/>
      </c>
    </row>
    <row r="159" spans="1:19" x14ac:dyDescent="0.3">
      <c r="A159" s="23" t="s">
        <v>178</v>
      </c>
      <c r="B159" s="23" t="s">
        <v>179</v>
      </c>
      <c r="C159" s="24" t="s">
        <v>23</v>
      </c>
      <c r="D159" s="24" t="s">
        <v>23</v>
      </c>
      <c r="E159" s="24" t="s">
        <v>23</v>
      </c>
      <c r="F159" s="24" t="s">
        <v>23</v>
      </c>
      <c r="G159" s="24" t="s">
        <v>23</v>
      </c>
      <c r="H159" s="24">
        <v>32.770000000000003</v>
      </c>
      <c r="I159" s="24">
        <v>90.75</v>
      </c>
      <c r="J159" s="25">
        <v>0</v>
      </c>
      <c r="K159" s="25">
        <v>0</v>
      </c>
      <c r="L159" s="25">
        <v>3</v>
      </c>
      <c r="M159" s="18">
        <f t="shared" si="12"/>
        <v>275</v>
      </c>
      <c r="N159" s="19">
        <f t="shared" si="13"/>
        <v>45456</v>
      </c>
      <c r="O159" s="18" t="b">
        <f t="shared" si="11"/>
        <v>0</v>
      </c>
      <c r="P159" s="43" t="str">
        <f>IF(O159,swap_curve!$B$19,"")</f>
        <v/>
      </c>
      <c r="Q159" t="str">
        <f t="shared" si="14"/>
        <v/>
      </c>
      <c r="R159" t="str" cm="1">
        <f t="array" ref="R159">IF(O159,BSCall(swap_curve!$B$20,imvol!M159,imvol!P159,imvol!Q159,YEARFRAC(swap_curve!$C$1,imvol!N159)),"")</f>
        <v/>
      </c>
      <c r="S159" s="20" t="str">
        <f t="shared" si="10"/>
        <v/>
      </c>
    </row>
    <row r="160" spans="1:19" x14ac:dyDescent="0.3">
      <c r="A160" s="23" t="s">
        <v>852</v>
      </c>
      <c r="B160" s="23" t="s">
        <v>853</v>
      </c>
      <c r="C160" s="24" t="s">
        <v>23</v>
      </c>
      <c r="D160" s="24" t="s">
        <v>23</v>
      </c>
      <c r="E160" s="24" t="s">
        <v>23</v>
      </c>
      <c r="F160" s="24" t="s">
        <v>23</v>
      </c>
      <c r="G160" s="24" t="s">
        <v>23</v>
      </c>
      <c r="H160" s="24">
        <v>32.06</v>
      </c>
      <c r="I160" s="24">
        <v>88.25</v>
      </c>
      <c r="J160" s="25">
        <v>0</v>
      </c>
      <c r="K160" s="25">
        <v>0</v>
      </c>
      <c r="L160" s="25">
        <v>0</v>
      </c>
      <c r="M160" s="18">
        <f t="shared" si="12"/>
        <v>277.5</v>
      </c>
      <c r="N160" s="19">
        <f t="shared" si="13"/>
        <v>45456</v>
      </c>
      <c r="O160" s="18" t="b">
        <f t="shared" si="11"/>
        <v>0</v>
      </c>
      <c r="P160" s="43" t="str">
        <f>IF(O160,swap_curve!$B$19,"")</f>
        <v/>
      </c>
      <c r="Q160" t="str">
        <f t="shared" si="14"/>
        <v/>
      </c>
      <c r="R160" t="str" cm="1">
        <f t="array" ref="R160">IF(O160,BSCall(swap_curve!$B$20,imvol!M160,imvol!P160,imvol!Q160,YEARFRAC(swap_curve!$C$1,imvol!N160)),"")</f>
        <v/>
      </c>
      <c r="S160" s="20" t="str">
        <f t="shared" si="10"/>
        <v/>
      </c>
    </row>
    <row r="161" spans="1:19" x14ac:dyDescent="0.3">
      <c r="A161" s="23" t="s">
        <v>180</v>
      </c>
      <c r="B161" s="23" t="s">
        <v>181</v>
      </c>
      <c r="C161" s="24" t="s">
        <v>23</v>
      </c>
      <c r="D161" s="24" t="s">
        <v>23</v>
      </c>
      <c r="E161" s="24" t="s">
        <v>23</v>
      </c>
      <c r="F161" s="24" t="s">
        <v>23</v>
      </c>
      <c r="G161" s="24" t="s">
        <v>23</v>
      </c>
      <c r="H161" s="24">
        <v>31.35</v>
      </c>
      <c r="I161" s="24">
        <v>85.8</v>
      </c>
      <c r="J161" s="25">
        <v>0</v>
      </c>
      <c r="K161" s="25">
        <v>0</v>
      </c>
      <c r="L161" s="25">
        <v>5</v>
      </c>
      <c r="M161" s="18">
        <f t="shared" si="12"/>
        <v>280</v>
      </c>
      <c r="N161" s="19">
        <f t="shared" si="13"/>
        <v>45456</v>
      </c>
      <c r="O161" s="18" t="b">
        <f t="shared" si="11"/>
        <v>0</v>
      </c>
      <c r="P161" s="43" t="str">
        <f>IF(O161,swap_curve!$B$19,"")</f>
        <v/>
      </c>
      <c r="Q161" t="str">
        <f t="shared" si="14"/>
        <v/>
      </c>
      <c r="R161" t="str" cm="1">
        <f t="array" ref="R161">IF(O161,BSCall(swap_curve!$B$20,imvol!M161,imvol!P161,imvol!Q161,YEARFRAC(swap_curve!$C$1,imvol!N161)),"")</f>
        <v/>
      </c>
      <c r="S161" s="20" t="str">
        <f t="shared" si="10"/>
        <v/>
      </c>
    </row>
    <row r="162" spans="1:19" x14ac:dyDescent="0.3">
      <c r="A162" s="23" t="s">
        <v>854</v>
      </c>
      <c r="B162" s="23" t="s">
        <v>855</v>
      </c>
      <c r="C162" s="24" t="s">
        <v>23</v>
      </c>
      <c r="D162" s="24" t="s">
        <v>23</v>
      </c>
      <c r="E162" s="24" t="s">
        <v>23</v>
      </c>
      <c r="F162" s="24" t="s">
        <v>23</v>
      </c>
      <c r="G162" s="24" t="s">
        <v>23</v>
      </c>
      <c r="H162" s="24">
        <v>30.64</v>
      </c>
      <c r="I162" s="24">
        <v>83.3</v>
      </c>
      <c r="J162" s="25">
        <v>0</v>
      </c>
      <c r="K162" s="25">
        <v>0</v>
      </c>
      <c r="L162" s="25">
        <v>0</v>
      </c>
      <c r="M162" s="18">
        <f t="shared" si="12"/>
        <v>282.5</v>
      </c>
      <c r="N162" s="19">
        <f t="shared" si="13"/>
        <v>45456</v>
      </c>
      <c r="O162" s="18" t="b">
        <f t="shared" si="11"/>
        <v>0</v>
      </c>
      <c r="P162" s="43" t="str">
        <f>IF(O162,swap_curve!$B$19,"")</f>
        <v/>
      </c>
      <c r="Q162" t="str">
        <f t="shared" si="14"/>
        <v/>
      </c>
      <c r="R162" t="str" cm="1">
        <f t="array" ref="R162">IF(O162,BSCall(swap_curve!$B$20,imvol!M162,imvol!P162,imvol!Q162,YEARFRAC(swap_curve!$C$1,imvol!N162)),"")</f>
        <v/>
      </c>
      <c r="S162" s="20" t="str">
        <f t="shared" si="10"/>
        <v/>
      </c>
    </row>
    <row r="163" spans="1:19" x14ac:dyDescent="0.3">
      <c r="A163" s="23" t="s">
        <v>182</v>
      </c>
      <c r="B163" s="23" t="s">
        <v>183</v>
      </c>
      <c r="C163" s="24" t="s">
        <v>23</v>
      </c>
      <c r="D163" s="24" t="s">
        <v>23</v>
      </c>
      <c r="E163" s="24" t="s">
        <v>23</v>
      </c>
      <c r="F163" s="24" t="s">
        <v>23</v>
      </c>
      <c r="G163" s="24" t="s">
        <v>23</v>
      </c>
      <c r="H163" s="24">
        <v>29.93</v>
      </c>
      <c r="I163" s="24">
        <v>80.8</v>
      </c>
      <c r="J163" s="25">
        <v>0</v>
      </c>
      <c r="K163" s="25">
        <v>0</v>
      </c>
      <c r="L163" s="25">
        <v>3</v>
      </c>
      <c r="M163" s="18">
        <f t="shared" si="12"/>
        <v>285</v>
      </c>
      <c r="N163" s="19">
        <f t="shared" si="13"/>
        <v>45456</v>
      </c>
      <c r="O163" s="18" t="b">
        <f t="shared" si="11"/>
        <v>0</v>
      </c>
      <c r="P163" s="43" t="str">
        <f>IF(O163,swap_curve!$B$19,"")</f>
        <v/>
      </c>
      <c r="Q163" t="str">
        <f t="shared" si="14"/>
        <v/>
      </c>
      <c r="R163" t="str" cm="1">
        <f t="array" ref="R163">IF(O163,BSCall(swap_curve!$B$20,imvol!M163,imvol!P163,imvol!Q163,YEARFRAC(swap_curve!$C$1,imvol!N163)),"")</f>
        <v/>
      </c>
      <c r="S163" s="20" t="str">
        <f t="shared" si="10"/>
        <v/>
      </c>
    </row>
    <row r="164" spans="1:19" x14ac:dyDescent="0.3">
      <c r="A164" s="23" t="s">
        <v>856</v>
      </c>
      <c r="B164" s="23" t="s">
        <v>857</v>
      </c>
      <c r="C164" s="24" t="s">
        <v>23</v>
      </c>
      <c r="D164" s="24" t="s">
        <v>23</v>
      </c>
      <c r="E164" s="24" t="s">
        <v>23</v>
      </c>
      <c r="F164" s="24" t="s">
        <v>23</v>
      </c>
      <c r="G164" s="24" t="s">
        <v>23</v>
      </c>
      <c r="H164" s="24">
        <v>29.22</v>
      </c>
      <c r="I164" s="24">
        <v>78.349999999999994</v>
      </c>
      <c r="J164" s="25">
        <v>0</v>
      </c>
      <c r="K164" s="25">
        <v>0</v>
      </c>
      <c r="L164" s="25">
        <v>0</v>
      </c>
      <c r="M164" s="18">
        <f t="shared" si="12"/>
        <v>287.5</v>
      </c>
      <c r="N164" s="19">
        <f t="shared" si="13"/>
        <v>45456</v>
      </c>
      <c r="O164" s="18" t="b">
        <f t="shared" si="11"/>
        <v>0</v>
      </c>
      <c r="P164" s="43" t="str">
        <f>IF(O164,swap_curve!$B$19,"")</f>
        <v/>
      </c>
      <c r="Q164" t="str">
        <f t="shared" si="14"/>
        <v/>
      </c>
      <c r="R164" t="str" cm="1">
        <f t="array" ref="R164">IF(O164,BSCall(swap_curve!$B$20,imvol!M164,imvol!P164,imvol!Q164,YEARFRAC(swap_curve!$C$1,imvol!N164)),"")</f>
        <v/>
      </c>
      <c r="S164" s="20" t="str">
        <f t="shared" si="10"/>
        <v/>
      </c>
    </row>
    <row r="165" spans="1:19" x14ac:dyDescent="0.3">
      <c r="A165" s="23" t="s">
        <v>184</v>
      </c>
      <c r="B165" s="23" t="s">
        <v>185</v>
      </c>
      <c r="C165" s="24" t="s">
        <v>23</v>
      </c>
      <c r="D165" s="24" t="s">
        <v>23</v>
      </c>
      <c r="E165" s="24" t="s">
        <v>23</v>
      </c>
      <c r="F165" s="24" t="s">
        <v>23</v>
      </c>
      <c r="G165" s="24" t="s">
        <v>23</v>
      </c>
      <c r="H165" s="24">
        <v>28.51</v>
      </c>
      <c r="I165" s="24">
        <v>75.849999999999994</v>
      </c>
      <c r="J165" s="25">
        <v>0</v>
      </c>
      <c r="K165" s="25">
        <v>0</v>
      </c>
      <c r="L165" s="25">
        <v>1405</v>
      </c>
      <c r="M165" s="18">
        <f t="shared" si="12"/>
        <v>290</v>
      </c>
      <c r="N165" s="19">
        <f t="shared" si="13"/>
        <v>45456</v>
      </c>
      <c r="O165" s="18" t="b">
        <f t="shared" si="11"/>
        <v>0</v>
      </c>
      <c r="P165" s="43" t="str">
        <f>IF(O165,swap_curve!$B$19,"")</f>
        <v/>
      </c>
      <c r="Q165" t="str">
        <f t="shared" si="14"/>
        <v/>
      </c>
      <c r="R165" t="str" cm="1">
        <f t="array" ref="R165">IF(O165,BSCall(swap_curve!$B$20,imvol!M165,imvol!P165,imvol!Q165,YEARFRAC(swap_curve!$C$1,imvol!N165)),"")</f>
        <v/>
      </c>
      <c r="S165" s="20" t="str">
        <f t="shared" si="10"/>
        <v/>
      </c>
    </row>
    <row r="166" spans="1:19" x14ac:dyDescent="0.3">
      <c r="A166" s="23" t="s">
        <v>858</v>
      </c>
      <c r="B166" s="23" t="s">
        <v>859</v>
      </c>
      <c r="C166" s="24" t="s">
        <v>23</v>
      </c>
      <c r="D166" s="24" t="s">
        <v>23</v>
      </c>
      <c r="E166" s="24" t="s">
        <v>23</v>
      </c>
      <c r="F166" s="24" t="s">
        <v>23</v>
      </c>
      <c r="G166" s="24" t="s">
        <v>23</v>
      </c>
      <c r="H166" s="24">
        <v>27.8</v>
      </c>
      <c r="I166" s="24">
        <v>73.400000000000006</v>
      </c>
      <c r="J166" s="25">
        <v>0</v>
      </c>
      <c r="K166" s="25">
        <v>0</v>
      </c>
      <c r="L166" s="25">
        <v>0</v>
      </c>
      <c r="M166" s="18">
        <f t="shared" si="12"/>
        <v>292.5</v>
      </c>
      <c r="N166" s="19">
        <f t="shared" si="13"/>
        <v>45456</v>
      </c>
      <c r="O166" s="18" t="b">
        <f t="shared" si="11"/>
        <v>0</v>
      </c>
      <c r="P166" s="43" t="str">
        <f>IF(O166,swap_curve!$B$19,"")</f>
        <v/>
      </c>
      <c r="Q166" t="str">
        <f t="shared" si="14"/>
        <v/>
      </c>
      <c r="R166" t="str" cm="1">
        <f t="array" ref="R166">IF(O166,BSCall(swap_curve!$B$20,imvol!M166,imvol!P166,imvol!Q166,YEARFRAC(swap_curve!$C$1,imvol!N166)),"")</f>
        <v/>
      </c>
      <c r="S166" s="20" t="str">
        <f t="shared" si="10"/>
        <v/>
      </c>
    </row>
    <row r="167" spans="1:19" x14ac:dyDescent="0.3">
      <c r="A167" s="23" t="s">
        <v>186</v>
      </c>
      <c r="B167" s="23" t="s">
        <v>187</v>
      </c>
      <c r="C167" s="24" t="s">
        <v>23</v>
      </c>
      <c r="D167" s="24" t="s">
        <v>23</v>
      </c>
      <c r="E167" s="24" t="s">
        <v>23</v>
      </c>
      <c r="F167" s="24" t="s">
        <v>23</v>
      </c>
      <c r="G167" s="24" t="s">
        <v>23</v>
      </c>
      <c r="H167" s="24">
        <v>27.09</v>
      </c>
      <c r="I167" s="24">
        <v>70.900000000000006</v>
      </c>
      <c r="J167" s="25">
        <v>0</v>
      </c>
      <c r="K167" s="25">
        <v>0</v>
      </c>
      <c r="L167" s="25">
        <v>3</v>
      </c>
      <c r="M167" s="18">
        <f t="shared" si="12"/>
        <v>295</v>
      </c>
      <c r="N167" s="19">
        <f t="shared" si="13"/>
        <v>45456</v>
      </c>
      <c r="O167" s="18" t="b">
        <f t="shared" si="11"/>
        <v>0</v>
      </c>
      <c r="P167" s="43" t="str">
        <f>IF(O167,swap_curve!$B$19,"")</f>
        <v/>
      </c>
      <c r="Q167" t="str">
        <f t="shared" si="14"/>
        <v/>
      </c>
      <c r="R167" t="str" cm="1">
        <f t="array" ref="R167">IF(O167,BSCall(swap_curve!$B$20,imvol!M167,imvol!P167,imvol!Q167,YEARFRAC(swap_curve!$C$1,imvol!N167)),"")</f>
        <v/>
      </c>
      <c r="S167" s="20" t="str">
        <f t="shared" si="10"/>
        <v/>
      </c>
    </row>
    <row r="168" spans="1:19" x14ac:dyDescent="0.3">
      <c r="A168" s="23" t="s">
        <v>860</v>
      </c>
      <c r="B168" s="23" t="s">
        <v>861</v>
      </c>
      <c r="C168" s="24" t="s">
        <v>23</v>
      </c>
      <c r="D168" s="24" t="s">
        <v>23</v>
      </c>
      <c r="E168" s="24" t="s">
        <v>23</v>
      </c>
      <c r="F168" s="24" t="s">
        <v>23</v>
      </c>
      <c r="G168" s="24" t="s">
        <v>23</v>
      </c>
      <c r="H168" s="24">
        <v>26.38</v>
      </c>
      <c r="I168" s="24">
        <v>68.400000000000006</v>
      </c>
      <c r="J168" s="25">
        <v>0</v>
      </c>
      <c r="K168" s="25">
        <v>0</v>
      </c>
      <c r="L168" s="25">
        <v>0</v>
      </c>
      <c r="M168" s="18">
        <f t="shared" si="12"/>
        <v>297.5</v>
      </c>
      <c r="N168" s="19">
        <f t="shared" si="13"/>
        <v>45456</v>
      </c>
      <c r="O168" s="18" t="b">
        <f t="shared" si="11"/>
        <v>0</v>
      </c>
      <c r="P168" s="43" t="str">
        <f>IF(O168,swap_curve!$B$19,"")</f>
        <v/>
      </c>
      <c r="Q168" t="str">
        <f t="shared" si="14"/>
        <v/>
      </c>
      <c r="R168" t="str" cm="1">
        <f t="array" ref="R168">IF(O168,BSCall(swap_curve!$B$20,imvol!M168,imvol!P168,imvol!Q168,YEARFRAC(swap_curve!$C$1,imvol!N168)),"")</f>
        <v/>
      </c>
      <c r="S168" s="20" t="str">
        <f t="shared" si="10"/>
        <v/>
      </c>
    </row>
    <row r="169" spans="1:19" x14ac:dyDescent="0.3">
      <c r="A169" s="23" t="s">
        <v>188</v>
      </c>
      <c r="B169" s="23" t="s">
        <v>189</v>
      </c>
      <c r="C169" s="24" t="s">
        <v>23</v>
      </c>
      <c r="D169" s="24" t="s">
        <v>23</v>
      </c>
      <c r="E169" s="24" t="s">
        <v>23</v>
      </c>
      <c r="F169" s="24" t="s">
        <v>23</v>
      </c>
      <c r="G169" s="24" t="s">
        <v>23</v>
      </c>
      <c r="H169" s="24">
        <v>25.67</v>
      </c>
      <c r="I169" s="24">
        <v>65.95</v>
      </c>
      <c r="J169" s="25">
        <v>0</v>
      </c>
      <c r="K169" s="25">
        <v>0</v>
      </c>
      <c r="L169" s="25">
        <v>1632</v>
      </c>
      <c r="M169" s="18">
        <f t="shared" si="12"/>
        <v>300</v>
      </c>
      <c r="N169" s="19">
        <f t="shared" si="13"/>
        <v>45456</v>
      </c>
      <c r="O169" s="18" t="b">
        <f t="shared" si="11"/>
        <v>0</v>
      </c>
      <c r="P169" s="43" t="str">
        <f>IF(O169,swap_curve!$B$19,"")</f>
        <v/>
      </c>
      <c r="Q169" t="str">
        <f t="shared" si="14"/>
        <v/>
      </c>
      <c r="R169" t="str" cm="1">
        <f t="array" ref="R169">IF(O169,BSCall(swap_curve!$B$20,imvol!M169,imvol!P169,imvol!Q169,YEARFRAC(swap_curve!$C$1,imvol!N169)),"")</f>
        <v/>
      </c>
      <c r="S169" s="20" t="str">
        <f t="shared" si="10"/>
        <v/>
      </c>
    </row>
    <row r="170" spans="1:19" x14ac:dyDescent="0.3">
      <c r="A170" s="23" t="s">
        <v>862</v>
      </c>
      <c r="B170" s="23" t="s">
        <v>863</v>
      </c>
      <c r="C170" s="24" t="s">
        <v>23</v>
      </c>
      <c r="D170" s="24" t="s">
        <v>23</v>
      </c>
      <c r="E170" s="24" t="s">
        <v>23</v>
      </c>
      <c r="F170" s="24" t="s">
        <v>23</v>
      </c>
      <c r="G170" s="24" t="s">
        <v>23</v>
      </c>
      <c r="H170" s="24">
        <v>24.96</v>
      </c>
      <c r="I170" s="24">
        <v>63.45</v>
      </c>
      <c r="J170" s="25">
        <v>0</v>
      </c>
      <c r="K170" s="25">
        <v>0</v>
      </c>
      <c r="L170" s="25">
        <v>0</v>
      </c>
      <c r="M170" s="18">
        <f t="shared" si="12"/>
        <v>302.5</v>
      </c>
      <c r="N170" s="19">
        <f t="shared" si="13"/>
        <v>45456</v>
      </c>
      <c r="O170" s="18" t="b">
        <f t="shared" si="11"/>
        <v>0</v>
      </c>
      <c r="P170" s="43" t="str">
        <f>IF(O170,swap_curve!$B$19,"")</f>
        <v/>
      </c>
      <c r="Q170" t="str">
        <f t="shared" si="14"/>
        <v/>
      </c>
      <c r="R170" t="str" cm="1">
        <f t="array" ref="R170">IF(O170,BSCall(swap_curve!$B$20,imvol!M170,imvol!P170,imvol!Q170,YEARFRAC(swap_curve!$C$1,imvol!N170)),"")</f>
        <v/>
      </c>
      <c r="S170" s="20" t="str">
        <f t="shared" si="10"/>
        <v/>
      </c>
    </row>
    <row r="171" spans="1:19" x14ac:dyDescent="0.3">
      <c r="A171" s="23" t="s">
        <v>190</v>
      </c>
      <c r="B171" s="23" t="s">
        <v>191</v>
      </c>
      <c r="C171" s="24" t="s">
        <v>23</v>
      </c>
      <c r="D171" s="24" t="s">
        <v>23</v>
      </c>
      <c r="E171" s="24" t="s">
        <v>23</v>
      </c>
      <c r="F171" s="24" t="s">
        <v>23</v>
      </c>
      <c r="G171" s="24" t="s">
        <v>23</v>
      </c>
      <c r="H171" s="24">
        <v>24.25</v>
      </c>
      <c r="I171" s="24">
        <v>61</v>
      </c>
      <c r="J171" s="25">
        <v>0</v>
      </c>
      <c r="K171" s="25">
        <v>0</v>
      </c>
      <c r="L171" s="25">
        <v>1</v>
      </c>
      <c r="M171" s="18">
        <f t="shared" si="12"/>
        <v>305</v>
      </c>
      <c r="N171" s="19">
        <f t="shared" si="13"/>
        <v>45456</v>
      </c>
      <c r="O171" s="18" t="b">
        <f t="shared" si="11"/>
        <v>0</v>
      </c>
      <c r="P171" s="43" t="str">
        <f>IF(O171,swap_curve!$B$19,"")</f>
        <v/>
      </c>
      <c r="Q171" t="str">
        <f t="shared" si="14"/>
        <v/>
      </c>
      <c r="R171" t="str" cm="1">
        <f t="array" ref="R171">IF(O171,BSCall(swap_curve!$B$20,imvol!M171,imvol!P171,imvol!Q171,YEARFRAC(swap_curve!$C$1,imvol!N171)),"")</f>
        <v/>
      </c>
      <c r="S171" s="20" t="str">
        <f t="shared" si="10"/>
        <v/>
      </c>
    </row>
    <row r="172" spans="1:19" x14ac:dyDescent="0.3">
      <c r="A172" s="23" t="s">
        <v>864</v>
      </c>
      <c r="B172" s="23" t="s">
        <v>865</v>
      </c>
      <c r="C172" s="24" t="s">
        <v>23</v>
      </c>
      <c r="D172" s="24" t="s">
        <v>23</v>
      </c>
      <c r="E172" s="24" t="s">
        <v>23</v>
      </c>
      <c r="F172" s="24" t="s">
        <v>23</v>
      </c>
      <c r="G172" s="24" t="s">
        <v>23</v>
      </c>
      <c r="H172" s="24">
        <v>23.54</v>
      </c>
      <c r="I172" s="24">
        <v>58.5</v>
      </c>
      <c r="J172" s="25">
        <v>0</v>
      </c>
      <c r="K172" s="25">
        <v>0</v>
      </c>
      <c r="L172" s="25">
        <v>1</v>
      </c>
      <c r="M172" s="18">
        <f t="shared" si="12"/>
        <v>307.5</v>
      </c>
      <c r="N172" s="19">
        <f t="shared" si="13"/>
        <v>45456</v>
      </c>
      <c r="O172" s="18" t="b">
        <f t="shared" si="11"/>
        <v>0</v>
      </c>
      <c r="P172" s="43" t="str">
        <f>IF(O172,swap_curve!$B$19,"")</f>
        <v/>
      </c>
      <c r="Q172" t="str">
        <f t="shared" si="14"/>
        <v/>
      </c>
      <c r="R172" t="str" cm="1">
        <f t="array" ref="R172">IF(O172,BSCall(swap_curve!$B$20,imvol!M172,imvol!P172,imvol!Q172,YEARFRAC(swap_curve!$C$1,imvol!N172)),"")</f>
        <v/>
      </c>
      <c r="S172" s="20" t="str">
        <f t="shared" si="10"/>
        <v/>
      </c>
    </row>
    <row r="173" spans="1:19" x14ac:dyDescent="0.3">
      <c r="A173" s="23" t="s">
        <v>192</v>
      </c>
      <c r="B173" s="23" t="s">
        <v>193</v>
      </c>
      <c r="C173" s="24" t="s">
        <v>23</v>
      </c>
      <c r="D173" s="24" t="s">
        <v>23</v>
      </c>
      <c r="E173" s="24" t="s">
        <v>23</v>
      </c>
      <c r="F173" s="24" t="s">
        <v>23</v>
      </c>
      <c r="G173" s="24" t="s">
        <v>23</v>
      </c>
      <c r="H173" s="24">
        <v>22.83</v>
      </c>
      <c r="I173" s="24">
        <v>56.05</v>
      </c>
      <c r="J173" s="25">
        <v>0</v>
      </c>
      <c r="K173" s="25">
        <v>0</v>
      </c>
      <c r="L173" s="25">
        <v>2407</v>
      </c>
      <c r="M173" s="18">
        <f t="shared" si="12"/>
        <v>310</v>
      </c>
      <c r="N173" s="19">
        <f t="shared" si="13"/>
        <v>45456</v>
      </c>
      <c r="O173" s="18" t="b">
        <f t="shared" si="11"/>
        <v>0</v>
      </c>
      <c r="P173" s="43" t="str">
        <f>IF(O173,swap_curve!$B$19,"")</f>
        <v/>
      </c>
      <c r="Q173" t="str">
        <f t="shared" si="14"/>
        <v/>
      </c>
      <c r="R173" t="str" cm="1">
        <f t="array" ref="R173">IF(O173,BSCall(swap_curve!$B$20,imvol!M173,imvol!P173,imvol!Q173,YEARFRAC(swap_curve!$C$1,imvol!N173)),"")</f>
        <v/>
      </c>
      <c r="S173" s="20" t="str">
        <f t="shared" si="10"/>
        <v/>
      </c>
    </row>
    <row r="174" spans="1:19" x14ac:dyDescent="0.3">
      <c r="A174" s="23" t="s">
        <v>866</v>
      </c>
      <c r="B174" s="23" t="s">
        <v>867</v>
      </c>
      <c r="C174" s="24" t="s">
        <v>23</v>
      </c>
      <c r="D174" s="24" t="s">
        <v>23</v>
      </c>
      <c r="E174" s="24" t="s">
        <v>23</v>
      </c>
      <c r="F174" s="24" t="s">
        <v>23</v>
      </c>
      <c r="G174" s="24" t="s">
        <v>23</v>
      </c>
      <c r="H174" s="24">
        <v>22.12</v>
      </c>
      <c r="I174" s="24">
        <v>53.55</v>
      </c>
      <c r="J174" s="25">
        <v>0</v>
      </c>
      <c r="K174" s="25">
        <v>0</v>
      </c>
      <c r="L174" s="25">
        <v>1</v>
      </c>
      <c r="M174" s="18">
        <f t="shared" si="12"/>
        <v>312.5</v>
      </c>
      <c r="N174" s="19">
        <f t="shared" si="13"/>
        <v>45456</v>
      </c>
      <c r="O174" s="18" t="b">
        <f t="shared" si="11"/>
        <v>0</v>
      </c>
      <c r="P174" s="43" t="str">
        <f>IF(O174,swap_curve!$B$19,"")</f>
        <v/>
      </c>
      <c r="Q174" t="str">
        <f t="shared" si="14"/>
        <v/>
      </c>
      <c r="R174" t="str" cm="1">
        <f t="array" ref="R174">IF(O174,BSCall(swap_curve!$B$20,imvol!M174,imvol!P174,imvol!Q174,YEARFRAC(swap_curve!$C$1,imvol!N174)),"")</f>
        <v/>
      </c>
      <c r="S174" s="20" t="str">
        <f t="shared" si="10"/>
        <v/>
      </c>
    </row>
    <row r="175" spans="1:19" x14ac:dyDescent="0.3">
      <c r="A175" s="23" t="s">
        <v>194</v>
      </c>
      <c r="B175" s="23" t="s">
        <v>195</v>
      </c>
      <c r="C175" s="24" t="s">
        <v>23</v>
      </c>
      <c r="D175" s="24" t="s">
        <v>23</v>
      </c>
      <c r="E175" s="24" t="s">
        <v>23</v>
      </c>
      <c r="F175" s="24" t="s">
        <v>23</v>
      </c>
      <c r="G175" s="24" t="s">
        <v>23</v>
      </c>
      <c r="H175" s="24">
        <v>21.41</v>
      </c>
      <c r="I175" s="24">
        <v>51.05</v>
      </c>
      <c r="J175" s="25">
        <v>0</v>
      </c>
      <c r="K175" s="25">
        <v>0</v>
      </c>
      <c r="L175" s="25">
        <v>504</v>
      </c>
      <c r="M175" s="18">
        <f t="shared" si="12"/>
        <v>315</v>
      </c>
      <c r="N175" s="19">
        <f t="shared" si="13"/>
        <v>45456</v>
      </c>
      <c r="O175" s="18" t="b">
        <f t="shared" si="11"/>
        <v>0</v>
      </c>
      <c r="P175" s="43" t="str">
        <f>IF(O175,swap_curve!$B$19,"")</f>
        <v/>
      </c>
      <c r="Q175" t="str">
        <f t="shared" si="14"/>
        <v/>
      </c>
      <c r="R175" t="str" cm="1">
        <f t="array" ref="R175">IF(O175,BSCall(swap_curve!$B$20,imvol!M175,imvol!P175,imvol!Q175,YEARFRAC(swap_curve!$C$1,imvol!N175)),"")</f>
        <v/>
      </c>
      <c r="S175" s="20" t="str">
        <f t="shared" si="10"/>
        <v/>
      </c>
    </row>
    <row r="176" spans="1:19" x14ac:dyDescent="0.3">
      <c r="A176" s="23" t="s">
        <v>868</v>
      </c>
      <c r="B176" s="23" t="s">
        <v>869</v>
      </c>
      <c r="C176" s="24" t="s">
        <v>23</v>
      </c>
      <c r="D176" s="24" t="s">
        <v>23</v>
      </c>
      <c r="E176" s="24" t="s">
        <v>23</v>
      </c>
      <c r="F176" s="24" t="s">
        <v>23</v>
      </c>
      <c r="G176" s="24" t="s">
        <v>23</v>
      </c>
      <c r="H176" s="24">
        <v>20.7</v>
      </c>
      <c r="I176" s="24">
        <v>48.6</v>
      </c>
      <c r="J176" s="25">
        <v>0</v>
      </c>
      <c r="K176" s="25">
        <v>0</v>
      </c>
      <c r="L176" s="25">
        <v>1</v>
      </c>
      <c r="M176" s="18">
        <f t="shared" si="12"/>
        <v>317.5</v>
      </c>
      <c r="N176" s="19">
        <f t="shared" si="13"/>
        <v>45456</v>
      </c>
      <c r="O176" s="18" t="b">
        <f t="shared" si="11"/>
        <v>0</v>
      </c>
      <c r="P176" s="43" t="str">
        <f>IF(O176,swap_curve!$B$19,"")</f>
        <v/>
      </c>
      <c r="Q176" t="str">
        <f t="shared" si="14"/>
        <v/>
      </c>
      <c r="R176" t="str" cm="1">
        <f t="array" ref="R176">IF(O176,BSCall(swap_curve!$B$20,imvol!M176,imvol!P176,imvol!Q176,YEARFRAC(swap_curve!$C$1,imvol!N176)),"")</f>
        <v/>
      </c>
      <c r="S176" s="20" t="str">
        <f t="shared" si="10"/>
        <v/>
      </c>
    </row>
    <row r="177" spans="1:19" x14ac:dyDescent="0.3">
      <c r="A177" s="23" t="s">
        <v>196</v>
      </c>
      <c r="B177" s="23" t="s">
        <v>197</v>
      </c>
      <c r="C177" s="24">
        <v>45.6</v>
      </c>
      <c r="D177" s="24">
        <v>3.15</v>
      </c>
      <c r="E177" s="24">
        <v>45.6</v>
      </c>
      <c r="F177" s="24">
        <v>45.6</v>
      </c>
      <c r="G177" s="24">
        <v>45.6</v>
      </c>
      <c r="H177" s="24">
        <v>20</v>
      </c>
      <c r="I177" s="24">
        <v>45.6</v>
      </c>
      <c r="J177" s="25">
        <v>1</v>
      </c>
      <c r="K177" s="25">
        <v>11</v>
      </c>
      <c r="L177" s="25">
        <v>5362</v>
      </c>
      <c r="M177" s="18">
        <f t="shared" si="12"/>
        <v>320</v>
      </c>
      <c r="N177" s="19">
        <f t="shared" si="13"/>
        <v>45456</v>
      </c>
      <c r="O177" s="18" t="b">
        <f t="shared" si="11"/>
        <v>0</v>
      </c>
      <c r="P177" s="43" t="str">
        <f>IF(O177,swap_curve!$B$19,"")</f>
        <v/>
      </c>
      <c r="Q177" t="str">
        <f t="shared" si="14"/>
        <v/>
      </c>
      <c r="R177" t="str" cm="1">
        <f t="array" ref="R177">IF(O177,BSCall(swap_curve!$B$20,imvol!M177,imvol!P177,imvol!Q177,YEARFRAC(swap_curve!$C$1,imvol!N177)),"")</f>
        <v/>
      </c>
      <c r="S177" s="20" t="str">
        <f t="shared" si="10"/>
        <v/>
      </c>
    </row>
    <row r="178" spans="1:19" x14ac:dyDescent="0.3">
      <c r="A178" s="23" t="s">
        <v>870</v>
      </c>
      <c r="B178" s="23" t="s">
        <v>871</v>
      </c>
      <c r="C178" s="24" t="s">
        <v>23</v>
      </c>
      <c r="D178" s="24" t="s">
        <v>23</v>
      </c>
      <c r="E178" s="24" t="s">
        <v>23</v>
      </c>
      <c r="F178" s="24" t="s">
        <v>23</v>
      </c>
      <c r="G178" s="24" t="s">
        <v>23</v>
      </c>
      <c r="H178" s="24">
        <v>19.5</v>
      </c>
      <c r="I178" s="24">
        <v>43.7</v>
      </c>
      <c r="J178" s="25">
        <v>0</v>
      </c>
      <c r="K178" s="25">
        <v>0</v>
      </c>
      <c r="L178" s="25">
        <v>6</v>
      </c>
      <c r="M178" s="18">
        <f t="shared" si="12"/>
        <v>322.5</v>
      </c>
      <c r="N178" s="19">
        <f t="shared" si="13"/>
        <v>45456</v>
      </c>
      <c r="O178" s="18" t="b">
        <f t="shared" si="11"/>
        <v>0</v>
      </c>
      <c r="P178" s="43" t="str">
        <f>IF(O178,swap_curve!$B$19,"")</f>
        <v/>
      </c>
      <c r="Q178" t="str">
        <f t="shared" si="14"/>
        <v/>
      </c>
      <c r="R178" t="str" cm="1">
        <f t="array" ref="R178">IF(O178,BSCall(swap_curve!$B$20,imvol!M178,imvol!P178,imvol!Q178,YEARFRAC(swap_curve!$C$1,imvol!N178)),"")</f>
        <v/>
      </c>
      <c r="S178" s="20" t="str">
        <f t="shared" si="10"/>
        <v/>
      </c>
    </row>
    <row r="179" spans="1:19" x14ac:dyDescent="0.3">
      <c r="A179" s="23" t="s">
        <v>198</v>
      </c>
      <c r="B179" s="23" t="s">
        <v>199</v>
      </c>
      <c r="C179" s="24" t="s">
        <v>23</v>
      </c>
      <c r="D179" s="24" t="s">
        <v>23</v>
      </c>
      <c r="E179" s="24" t="s">
        <v>23</v>
      </c>
      <c r="F179" s="24" t="s">
        <v>23</v>
      </c>
      <c r="G179" s="24" t="s">
        <v>23</v>
      </c>
      <c r="H179" s="24">
        <v>19</v>
      </c>
      <c r="I179" s="24">
        <v>41.25</v>
      </c>
      <c r="J179" s="25">
        <v>0</v>
      </c>
      <c r="K179" s="25">
        <v>0</v>
      </c>
      <c r="L179" s="25">
        <v>32</v>
      </c>
      <c r="M179" s="18">
        <f t="shared" si="12"/>
        <v>325</v>
      </c>
      <c r="N179" s="19">
        <f t="shared" si="13"/>
        <v>45456</v>
      </c>
      <c r="O179" s="18" t="b">
        <f t="shared" si="11"/>
        <v>0</v>
      </c>
      <c r="P179" s="43" t="str">
        <f>IF(O179,swap_curve!$B$19,"")</f>
        <v/>
      </c>
      <c r="Q179" t="str">
        <f t="shared" si="14"/>
        <v/>
      </c>
      <c r="R179" t="str" cm="1">
        <f t="array" ref="R179">IF(O179,BSCall(swap_curve!$B$20,imvol!M179,imvol!P179,imvol!Q179,YEARFRAC(swap_curve!$C$1,imvol!N179)),"")</f>
        <v/>
      </c>
      <c r="S179" s="20" t="str">
        <f t="shared" si="10"/>
        <v/>
      </c>
    </row>
    <row r="180" spans="1:19" x14ac:dyDescent="0.3">
      <c r="A180" s="23" t="s">
        <v>872</v>
      </c>
      <c r="B180" s="23" t="s">
        <v>873</v>
      </c>
      <c r="C180" s="24" t="s">
        <v>23</v>
      </c>
      <c r="D180" s="24" t="s">
        <v>23</v>
      </c>
      <c r="E180" s="24" t="s">
        <v>23</v>
      </c>
      <c r="F180" s="24" t="s">
        <v>23</v>
      </c>
      <c r="G180" s="24" t="s">
        <v>23</v>
      </c>
      <c r="H180" s="24">
        <v>18.5</v>
      </c>
      <c r="I180" s="24">
        <v>38.799999999999997</v>
      </c>
      <c r="J180" s="25">
        <v>0</v>
      </c>
      <c r="K180" s="25">
        <v>0</v>
      </c>
      <c r="L180" s="25">
        <v>1</v>
      </c>
      <c r="M180" s="18">
        <f t="shared" si="12"/>
        <v>327.5</v>
      </c>
      <c r="N180" s="19">
        <f t="shared" si="13"/>
        <v>45456</v>
      </c>
      <c r="O180" s="18" t="b">
        <f t="shared" si="11"/>
        <v>0</v>
      </c>
      <c r="P180" s="43" t="str">
        <f>IF(O180,swap_curve!$B$19,"")</f>
        <v/>
      </c>
      <c r="Q180" t="str">
        <f t="shared" si="14"/>
        <v/>
      </c>
      <c r="R180" t="str" cm="1">
        <f t="array" ref="R180">IF(O180,BSCall(swap_curve!$B$20,imvol!M180,imvol!P180,imvol!Q180,YEARFRAC(swap_curve!$C$1,imvol!N180)),"")</f>
        <v/>
      </c>
      <c r="S180" s="20" t="str">
        <f t="shared" si="10"/>
        <v/>
      </c>
    </row>
    <row r="181" spans="1:19" x14ac:dyDescent="0.3">
      <c r="A181" s="23" t="s">
        <v>200</v>
      </c>
      <c r="B181" s="23" t="s">
        <v>201</v>
      </c>
      <c r="C181" s="24">
        <v>36.25</v>
      </c>
      <c r="D181" s="24">
        <v>3.45</v>
      </c>
      <c r="E181" s="24">
        <v>36.35</v>
      </c>
      <c r="F181" s="24">
        <v>36.6</v>
      </c>
      <c r="G181" s="24">
        <v>36.25</v>
      </c>
      <c r="H181" s="24">
        <v>18</v>
      </c>
      <c r="I181" s="24">
        <v>36.25</v>
      </c>
      <c r="J181" s="25">
        <v>5</v>
      </c>
      <c r="K181" s="25">
        <v>45</v>
      </c>
      <c r="L181" s="25">
        <v>5655</v>
      </c>
      <c r="M181" s="18">
        <f t="shared" si="12"/>
        <v>330</v>
      </c>
      <c r="N181" s="19">
        <f t="shared" si="13"/>
        <v>45456</v>
      </c>
      <c r="O181" s="18" t="b">
        <f t="shared" si="11"/>
        <v>0</v>
      </c>
      <c r="P181" s="43" t="str">
        <f>IF(O181,swap_curve!$B$19,"")</f>
        <v/>
      </c>
      <c r="Q181" t="str">
        <f t="shared" si="14"/>
        <v/>
      </c>
      <c r="R181" t="str" cm="1">
        <f t="array" ref="R181">IF(O181,BSCall(swap_curve!$B$20,imvol!M181,imvol!P181,imvol!Q181,YEARFRAC(swap_curve!$C$1,imvol!N181)),"")</f>
        <v/>
      </c>
      <c r="S181" s="20" t="str">
        <f t="shared" si="10"/>
        <v/>
      </c>
    </row>
    <row r="182" spans="1:19" x14ac:dyDescent="0.3">
      <c r="A182" s="23" t="s">
        <v>874</v>
      </c>
      <c r="B182" s="23" t="s">
        <v>875</v>
      </c>
      <c r="C182" s="24" t="s">
        <v>23</v>
      </c>
      <c r="D182" s="24" t="s">
        <v>23</v>
      </c>
      <c r="E182" s="24" t="s">
        <v>23</v>
      </c>
      <c r="F182" s="24" t="s">
        <v>23</v>
      </c>
      <c r="G182" s="24" t="s">
        <v>23</v>
      </c>
      <c r="H182" s="24">
        <v>18.5</v>
      </c>
      <c r="I182" s="24">
        <v>34.15</v>
      </c>
      <c r="J182" s="25">
        <v>0</v>
      </c>
      <c r="K182" s="25">
        <v>0</v>
      </c>
      <c r="L182" s="25">
        <v>2</v>
      </c>
      <c r="M182" s="18">
        <f t="shared" si="12"/>
        <v>332.5</v>
      </c>
      <c r="N182" s="19">
        <f t="shared" si="13"/>
        <v>45456</v>
      </c>
      <c r="O182" s="18" t="b">
        <f t="shared" si="11"/>
        <v>0</v>
      </c>
      <c r="P182" s="43" t="str">
        <f>IF(O182,swap_curve!$B$19,"")</f>
        <v/>
      </c>
      <c r="Q182" t="str">
        <f t="shared" si="14"/>
        <v/>
      </c>
      <c r="R182" t="str" cm="1">
        <f t="array" ref="R182">IF(O182,BSCall(swap_curve!$B$20,imvol!M182,imvol!P182,imvol!Q182,YEARFRAC(swap_curve!$C$1,imvol!N182)),"")</f>
        <v/>
      </c>
      <c r="S182" s="20" t="str">
        <f t="shared" si="10"/>
        <v/>
      </c>
    </row>
    <row r="183" spans="1:19" x14ac:dyDescent="0.3">
      <c r="A183" s="23" t="s">
        <v>202</v>
      </c>
      <c r="B183" s="23" t="s">
        <v>203</v>
      </c>
      <c r="C183" s="24">
        <v>31</v>
      </c>
      <c r="D183" s="24">
        <v>1.9</v>
      </c>
      <c r="E183" s="24">
        <v>30.25</v>
      </c>
      <c r="F183" s="24">
        <v>31</v>
      </c>
      <c r="G183" s="24">
        <v>30.25</v>
      </c>
      <c r="H183" s="24">
        <v>19</v>
      </c>
      <c r="I183" s="24">
        <v>31</v>
      </c>
      <c r="J183" s="25">
        <v>2</v>
      </c>
      <c r="K183" s="25">
        <v>15</v>
      </c>
      <c r="L183" s="25">
        <v>3035</v>
      </c>
      <c r="M183" s="18">
        <f t="shared" si="12"/>
        <v>335</v>
      </c>
      <c r="N183" s="19">
        <f t="shared" si="13"/>
        <v>45456</v>
      </c>
      <c r="O183" s="18" t="b">
        <f t="shared" si="11"/>
        <v>0</v>
      </c>
      <c r="P183" s="43" t="str">
        <f>IF(O183,swap_curve!$B$19,"")</f>
        <v/>
      </c>
      <c r="Q183" t="str">
        <f t="shared" si="14"/>
        <v/>
      </c>
      <c r="R183" t="str" cm="1">
        <f t="array" ref="R183">IF(O183,BSCall(swap_curve!$B$20,imvol!M183,imvol!P183,imvol!Q183,YEARFRAC(swap_curve!$C$1,imvol!N183)),"")</f>
        <v/>
      </c>
      <c r="S183" s="20" t="str">
        <f t="shared" si="10"/>
        <v/>
      </c>
    </row>
    <row r="184" spans="1:19" x14ac:dyDescent="0.3">
      <c r="A184" s="23" t="s">
        <v>876</v>
      </c>
      <c r="B184" s="23" t="s">
        <v>877</v>
      </c>
      <c r="C184" s="24" t="s">
        <v>23</v>
      </c>
      <c r="D184" s="24" t="s">
        <v>23</v>
      </c>
      <c r="E184" s="24" t="s">
        <v>23</v>
      </c>
      <c r="F184" s="24" t="s">
        <v>23</v>
      </c>
      <c r="G184" s="24" t="s">
        <v>23</v>
      </c>
      <c r="H184" s="24">
        <v>19.5</v>
      </c>
      <c r="I184" s="24">
        <v>29.85</v>
      </c>
      <c r="J184" s="25">
        <v>0</v>
      </c>
      <c r="K184" s="25">
        <v>0</v>
      </c>
      <c r="L184" s="25">
        <v>0</v>
      </c>
      <c r="M184" s="18">
        <f t="shared" si="12"/>
        <v>337.5</v>
      </c>
      <c r="N184" s="19">
        <f t="shared" si="13"/>
        <v>45456</v>
      </c>
      <c r="O184" s="18" t="b">
        <f t="shared" si="11"/>
        <v>0</v>
      </c>
      <c r="P184" s="43" t="str">
        <f>IF(O184,swap_curve!$B$19,"")</f>
        <v/>
      </c>
      <c r="Q184" t="str">
        <f t="shared" si="14"/>
        <v/>
      </c>
      <c r="R184" t="str" cm="1">
        <f t="array" ref="R184">IF(O184,BSCall(swap_curve!$B$20,imvol!M184,imvol!P184,imvol!Q184,YEARFRAC(swap_curve!$C$1,imvol!N184)),"")</f>
        <v/>
      </c>
      <c r="S184" s="20" t="str">
        <f t="shared" si="10"/>
        <v/>
      </c>
    </row>
    <row r="185" spans="1:19" x14ac:dyDescent="0.3">
      <c r="A185" s="23" t="s">
        <v>204</v>
      </c>
      <c r="B185" s="23" t="s">
        <v>205</v>
      </c>
      <c r="C185" s="24">
        <v>25.95</v>
      </c>
      <c r="D185" s="24">
        <v>0.85</v>
      </c>
      <c r="E185" s="24">
        <v>27.25</v>
      </c>
      <c r="F185" s="24">
        <v>27.25</v>
      </c>
      <c r="G185" s="24">
        <v>25.95</v>
      </c>
      <c r="H185" s="24">
        <v>20</v>
      </c>
      <c r="I185" s="24">
        <v>25.95</v>
      </c>
      <c r="J185" s="25">
        <v>2</v>
      </c>
      <c r="K185" s="25">
        <v>13</v>
      </c>
      <c r="L185" s="25">
        <v>7863</v>
      </c>
      <c r="M185" s="18">
        <f t="shared" si="12"/>
        <v>340</v>
      </c>
      <c r="N185" s="19">
        <f t="shared" si="13"/>
        <v>45456</v>
      </c>
      <c r="O185" s="18" t="b">
        <f t="shared" si="11"/>
        <v>0</v>
      </c>
      <c r="P185" s="43" t="str">
        <f>IF(O185,swap_curve!$B$19,"")</f>
        <v/>
      </c>
      <c r="Q185" t="str">
        <f t="shared" si="14"/>
        <v/>
      </c>
      <c r="R185" t="str" cm="1">
        <f t="array" ref="R185">IF(O185,BSCall(swap_curve!$B$20,imvol!M185,imvol!P185,imvol!Q185,YEARFRAC(swap_curve!$C$1,imvol!N185)),"")</f>
        <v/>
      </c>
      <c r="S185" s="20" t="str">
        <f t="shared" si="10"/>
        <v/>
      </c>
    </row>
    <row r="186" spans="1:19" x14ac:dyDescent="0.3">
      <c r="A186" s="23" t="s">
        <v>878</v>
      </c>
      <c r="B186" s="23" t="s">
        <v>879</v>
      </c>
      <c r="C186" s="24" t="s">
        <v>23</v>
      </c>
      <c r="D186" s="24" t="s">
        <v>23</v>
      </c>
      <c r="E186" s="24" t="s">
        <v>23</v>
      </c>
      <c r="F186" s="24" t="s">
        <v>23</v>
      </c>
      <c r="G186" s="24" t="s">
        <v>23</v>
      </c>
      <c r="H186" s="24">
        <v>19.5</v>
      </c>
      <c r="I186" s="24">
        <v>25.6</v>
      </c>
      <c r="J186" s="25">
        <v>0</v>
      </c>
      <c r="K186" s="25">
        <v>0</v>
      </c>
      <c r="L186" s="25">
        <v>4</v>
      </c>
      <c r="M186" s="18">
        <f t="shared" si="12"/>
        <v>342.5</v>
      </c>
      <c r="N186" s="19">
        <f t="shared" si="13"/>
        <v>45456</v>
      </c>
      <c r="O186" s="18" t="b">
        <f t="shared" si="11"/>
        <v>0</v>
      </c>
      <c r="P186" s="43" t="str">
        <f>IF(O186,swap_curve!$B$19,"")</f>
        <v/>
      </c>
      <c r="Q186" t="str">
        <f t="shared" si="14"/>
        <v/>
      </c>
      <c r="R186" t="str" cm="1">
        <f t="array" ref="R186">IF(O186,BSCall(swap_curve!$B$20,imvol!M186,imvol!P186,imvol!Q186,YEARFRAC(swap_curve!$C$1,imvol!N186)),"")</f>
        <v/>
      </c>
      <c r="S186" s="20" t="str">
        <f t="shared" si="10"/>
        <v/>
      </c>
    </row>
    <row r="187" spans="1:19" x14ac:dyDescent="0.3">
      <c r="A187" s="23" t="s">
        <v>206</v>
      </c>
      <c r="B187" s="23" t="s">
        <v>207</v>
      </c>
      <c r="C187" s="24" t="s">
        <v>23</v>
      </c>
      <c r="D187" s="24" t="s">
        <v>23</v>
      </c>
      <c r="E187" s="24" t="s">
        <v>23</v>
      </c>
      <c r="F187" s="24" t="s">
        <v>23</v>
      </c>
      <c r="G187" s="24" t="s">
        <v>23</v>
      </c>
      <c r="H187" s="24">
        <v>19</v>
      </c>
      <c r="I187" s="24">
        <v>23.45</v>
      </c>
      <c r="J187" s="25">
        <v>0</v>
      </c>
      <c r="K187" s="25">
        <v>0</v>
      </c>
      <c r="L187" s="25">
        <v>1771</v>
      </c>
      <c r="M187" s="18">
        <f t="shared" si="12"/>
        <v>345</v>
      </c>
      <c r="N187" s="19">
        <f t="shared" si="13"/>
        <v>45456</v>
      </c>
      <c r="O187" s="18" t="b">
        <f t="shared" si="11"/>
        <v>0</v>
      </c>
      <c r="P187" s="43" t="str">
        <f>IF(O187,swap_curve!$B$19,"")</f>
        <v/>
      </c>
      <c r="Q187" t="str">
        <f t="shared" si="14"/>
        <v/>
      </c>
      <c r="R187" t="str" cm="1">
        <f t="array" ref="R187">IF(O187,BSCall(swap_curve!$B$20,imvol!M187,imvol!P187,imvol!Q187,YEARFRAC(swap_curve!$C$1,imvol!N187)),"")</f>
        <v/>
      </c>
      <c r="S187" s="20" t="str">
        <f t="shared" si="10"/>
        <v/>
      </c>
    </row>
    <row r="188" spans="1:19" x14ac:dyDescent="0.3">
      <c r="A188" s="23" t="s">
        <v>880</v>
      </c>
      <c r="B188" s="23" t="s">
        <v>881</v>
      </c>
      <c r="C188" s="24" t="s">
        <v>23</v>
      </c>
      <c r="D188" s="24" t="s">
        <v>23</v>
      </c>
      <c r="E188" s="24" t="s">
        <v>23</v>
      </c>
      <c r="F188" s="24" t="s">
        <v>23</v>
      </c>
      <c r="G188" s="24" t="s">
        <v>23</v>
      </c>
      <c r="H188" s="24">
        <v>18.5</v>
      </c>
      <c r="I188" s="24">
        <v>21.25</v>
      </c>
      <c r="J188" s="25">
        <v>0</v>
      </c>
      <c r="K188" s="25">
        <v>0</v>
      </c>
      <c r="L188" s="25">
        <v>25</v>
      </c>
      <c r="M188" s="18">
        <f t="shared" si="12"/>
        <v>347.5</v>
      </c>
      <c r="N188" s="19">
        <f t="shared" si="13"/>
        <v>45456</v>
      </c>
      <c r="O188" s="18" t="b">
        <f t="shared" si="11"/>
        <v>0</v>
      </c>
      <c r="P188" s="43" t="str">
        <f>IF(O188,swap_curve!$B$19,"")</f>
        <v/>
      </c>
      <c r="Q188" t="str">
        <f t="shared" si="14"/>
        <v/>
      </c>
      <c r="R188" t="str" cm="1">
        <f t="array" ref="R188">IF(O188,BSCall(swap_curve!$B$20,imvol!M188,imvol!P188,imvol!Q188,YEARFRAC(swap_curve!$C$1,imvol!N188)),"")</f>
        <v/>
      </c>
      <c r="S188" s="20" t="str">
        <f t="shared" si="10"/>
        <v/>
      </c>
    </row>
    <row r="189" spans="1:19" x14ac:dyDescent="0.3">
      <c r="A189" s="23" t="s">
        <v>208</v>
      </c>
      <c r="B189" s="23" t="s">
        <v>209</v>
      </c>
      <c r="C189" s="24">
        <v>19</v>
      </c>
      <c r="D189" s="24">
        <v>2.25</v>
      </c>
      <c r="E189" s="24">
        <v>18.5</v>
      </c>
      <c r="F189" s="24">
        <v>19</v>
      </c>
      <c r="G189" s="24">
        <v>17.850000000000001</v>
      </c>
      <c r="H189" s="24">
        <v>18</v>
      </c>
      <c r="I189" s="24">
        <v>19</v>
      </c>
      <c r="J189" s="25">
        <v>15</v>
      </c>
      <c r="K189" s="25">
        <v>69</v>
      </c>
      <c r="L189" s="25">
        <v>9519</v>
      </c>
      <c r="M189" s="18">
        <f t="shared" si="12"/>
        <v>350</v>
      </c>
      <c r="N189" s="19">
        <f t="shared" si="13"/>
        <v>45456</v>
      </c>
      <c r="O189" s="18" t="b">
        <f t="shared" si="11"/>
        <v>0</v>
      </c>
      <c r="P189" s="43" t="str">
        <f>IF(O189,swap_curve!$B$19,"")</f>
        <v/>
      </c>
      <c r="Q189" t="str">
        <f t="shared" si="14"/>
        <v/>
      </c>
      <c r="R189" t="str" cm="1">
        <f t="array" ref="R189">IF(O189,BSCall(swap_curve!$B$20,imvol!M189,imvol!P189,imvol!Q189,YEARFRAC(swap_curve!$C$1,imvol!N189)),"")</f>
        <v/>
      </c>
      <c r="S189" s="20" t="str">
        <f t="shared" si="10"/>
        <v/>
      </c>
    </row>
    <row r="190" spans="1:19" x14ac:dyDescent="0.3">
      <c r="A190" s="23" t="s">
        <v>882</v>
      </c>
      <c r="B190" s="23" t="s">
        <v>883</v>
      </c>
      <c r="C190" s="24">
        <v>16.100000000000001</v>
      </c>
      <c r="D190" s="24">
        <v>1.6</v>
      </c>
      <c r="E190" s="24">
        <v>16.2</v>
      </c>
      <c r="F190" s="24">
        <v>16.2</v>
      </c>
      <c r="G190" s="24">
        <v>16.100000000000001</v>
      </c>
      <c r="H190" s="24">
        <v>17</v>
      </c>
      <c r="I190" s="24">
        <v>16.100000000000001</v>
      </c>
      <c r="J190" s="25">
        <v>4</v>
      </c>
      <c r="K190" s="25">
        <v>16</v>
      </c>
      <c r="L190" s="25">
        <v>58</v>
      </c>
      <c r="M190" s="18">
        <f t="shared" si="12"/>
        <v>352.5</v>
      </c>
      <c r="N190" s="19">
        <f t="shared" si="13"/>
        <v>45456</v>
      </c>
      <c r="O190" s="18" t="b">
        <f t="shared" si="11"/>
        <v>0</v>
      </c>
      <c r="P190" s="43" t="str">
        <f>IF(O190,swap_curve!$B$19,"")</f>
        <v/>
      </c>
      <c r="Q190" t="str">
        <f t="shared" si="14"/>
        <v/>
      </c>
      <c r="R190" t="str" cm="1">
        <f t="array" ref="R190">IF(O190,BSCall(swap_curve!$B$20,imvol!M190,imvol!P190,imvol!Q190,YEARFRAC(swap_curve!$C$1,imvol!N190)),"")</f>
        <v/>
      </c>
      <c r="S190" s="20" t="str">
        <f t="shared" si="10"/>
        <v/>
      </c>
    </row>
    <row r="191" spans="1:19" x14ac:dyDescent="0.3">
      <c r="A191" s="23" t="s">
        <v>210</v>
      </c>
      <c r="B191" s="23" t="s">
        <v>211</v>
      </c>
      <c r="C191" s="24">
        <v>15.25</v>
      </c>
      <c r="D191" s="24">
        <v>2.0499999999999998</v>
      </c>
      <c r="E191" s="24">
        <v>14.65</v>
      </c>
      <c r="F191" s="24">
        <v>15.25</v>
      </c>
      <c r="G191" s="24">
        <v>14.4</v>
      </c>
      <c r="H191" s="24">
        <v>17.5</v>
      </c>
      <c r="I191" s="24">
        <v>15.25</v>
      </c>
      <c r="J191" s="25">
        <v>20</v>
      </c>
      <c r="K191" s="25">
        <v>75</v>
      </c>
      <c r="L191" s="25">
        <v>3444</v>
      </c>
      <c r="M191" s="18">
        <f t="shared" si="12"/>
        <v>355</v>
      </c>
      <c r="N191" s="19">
        <f t="shared" si="13"/>
        <v>45456</v>
      </c>
      <c r="O191" s="18" t="b">
        <f t="shared" si="11"/>
        <v>0</v>
      </c>
      <c r="P191" s="43" t="str">
        <f>IF(O191,swap_curve!$B$19,"")</f>
        <v/>
      </c>
      <c r="Q191" t="str">
        <f t="shared" si="14"/>
        <v/>
      </c>
      <c r="R191" t="str" cm="1">
        <f t="array" ref="R191">IF(O191,BSCall(swap_curve!$B$20,imvol!M191,imvol!P191,imvol!Q191,YEARFRAC(swap_curve!$C$1,imvol!N191)),"")</f>
        <v/>
      </c>
      <c r="S191" s="20" t="str">
        <f t="shared" ref="S191:S254" si="15">IF(O191,R191-C191,"")</f>
        <v/>
      </c>
    </row>
    <row r="192" spans="1:19" x14ac:dyDescent="0.3">
      <c r="A192" s="23" t="s">
        <v>884</v>
      </c>
      <c r="B192" s="23" t="s">
        <v>885</v>
      </c>
      <c r="C192" s="24">
        <v>13.45</v>
      </c>
      <c r="D192" s="24">
        <v>1.7</v>
      </c>
      <c r="E192" s="24">
        <v>12.45</v>
      </c>
      <c r="F192" s="24">
        <v>13.45</v>
      </c>
      <c r="G192" s="24">
        <v>12.45</v>
      </c>
      <c r="H192" s="24">
        <v>17.3</v>
      </c>
      <c r="I192" s="24">
        <v>13.45</v>
      </c>
      <c r="J192" s="25">
        <v>3</v>
      </c>
      <c r="K192" s="25">
        <v>10</v>
      </c>
      <c r="L192" s="25">
        <v>147</v>
      </c>
      <c r="M192" s="18">
        <f t="shared" si="12"/>
        <v>357.5</v>
      </c>
      <c r="N192" s="19">
        <f t="shared" si="13"/>
        <v>45456</v>
      </c>
      <c r="O192" s="18" t="b">
        <f t="shared" si="11"/>
        <v>0</v>
      </c>
      <c r="P192" s="43" t="str">
        <f>IF(O192,swap_curve!$B$19,"")</f>
        <v/>
      </c>
      <c r="Q192" t="str">
        <f t="shared" si="14"/>
        <v/>
      </c>
      <c r="R192" t="str" cm="1">
        <f t="array" ref="R192">IF(O192,BSCall(swap_curve!$B$20,imvol!M192,imvol!P192,imvol!Q192,YEARFRAC(swap_curve!$C$1,imvol!N192)),"")</f>
        <v/>
      </c>
      <c r="S192" s="20" t="str">
        <f t="shared" si="15"/>
        <v/>
      </c>
    </row>
    <row r="193" spans="1:19" x14ac:dyDescent="0.3">
      <c r="A193" s="23" t="s">
        <v>212</v>
      </c>
      <c r="B193" s="23" t="s">
        <v>213</v>
      </c>
      <c r="C193" s="24">
        <v>11.9</v>
      </c>
      <c r="D193" s="24">
        <v>1.8</v>
      </c>
      <c r="E193" s="24">
        <v>11.45</v>
      </c>
      <c r="F193" s="24">
        <v>12.15</v>
      </c>
      <c r="G193" s="24">
        <v>11.35</v>
      </c>
      <c r="H193" s="24">
        <v>17</v>
      </c>
      <c r="I193" s="24">
        <v>11.9</v>
      </c>
      <c r="J193" s="25">
        <v>18</v>
      </c>
      <c r="K193" s="25">
        <v>53</v>
      </c>
      <c r="L193" s="25">
        <v>9595</v>
      </c>
      <c r="M193" s="18">
        <f t="shared" si="12"/>
        <v>360</v>
      </c>
      <c r="N193" s="19">
        <f t="shared" si="13"/>
        <v>45456</v>
      </c>
      <c r="O193" s="18" t="b">
        <f t="shared" si="11"/>
        <v>0</v>
      </c>
      <c r="P193" s="43" t="str">
        <f>IF(O193,swap_curve!$B$19,"")</f>
        <v/>
      </c>
      <c r="Q193" t="str">
        <f t="shared" si="14"/>
        <v/>
      </c>
      <c r="R193" t="str" cm="1">
        <f t="array" ref="R193">IF(O193,BSCall(swap_curve!$B$20,imvol!M193,imvol!P193,imvol!Q193,YEARFRAC(swap_curve!$C$1,imvol!N193)),"")</f>
        <v/>
      </c>
      <c r="S193" s="20" t="str">
        <f t="shared" si="15"/>
        <v/>
      </c>
    </row>
    <row r="194" spans="1:19" x14ac:dyDescent="0.3">
      <c r="A194" s="23" t="s">
        <v>886</v>
      </c>
      <c r="B194" s="23" t="s">
        <v>887</v>
      </c>
      <c r="C194" s="24">
        <v>9.8000000000000007</v>
      </c>
      <c r="D194" s="24">
        <v>1.05</v>
      </c>
      <c r="E194" s="24">
        <v>10</v>
      </c>
      <c r="F194" s="24">
        <v>10</v>
      </c>
      <c r="G194" s="24">
        <v>9.68</v>
      </c>
      <c r="H194" s="24">
        <v>16.100000000000001</v>
      </c>
      <c r="I194" s="24">
        <v>9.8000000000000007</v>
      </c>
      <c r="J194" s="25">
        <v>14</v>
      </c>
      <c r="K194" s="25">
        <v>34</v>
      </c>
      <c r="L194" s="25">
        <v>370</v>
      </c>
      <c r="M194" s="18">
        <f t="shared" si="12"/>
        <v>362.5</v>
      </c>
      <c r="N194" s="19">
        <f t="shared" si="13"/>
        <v>45456</v>
      </c>
      <c r="O194" s="18" t="b">
        <f t="shared" ref="O194:O257" si="16">IF(J194&gt;100, TRUE,FALSE)</f>
        <v>0</v>
      </c>
      <c r="P194" s="43" t="str">
        <f>IF(O194,swap_curve!$B$19,"")</f>
        <v/>
      </c>
      <c r="Q194" t="str">
        <f t="shared" si="14"/>
        <v/>
      </c>
      <c r="R194" t="str" cm="1">
        <f t="array" ref="R194">IF(O194,BSCall(swap_curve!$B$20,imvol!M194,imvol!P194,imvol!Q194,YEARFRAC(swap_curve!$C$1,imvol!N194)),"")</f>
        <v/>
      </c>
      <c r="S194" s="20" t="str">
        <f t="shared" si="15"/>
        <v/>
      </c>
    </row>
    <row r="195" spans="1:19" x14ac:dyDescent="0.3">
      <c r="A195" s="23" t="s">
        <v>214</v>
      </c>
      <c r="B195" s="23" t="s">
        <v>215</v>
      </c>
      <c r="C195" s="24">
        <v>9.01</v>
      </c>
      <c r="D195" s="24">
        <v>1.34</v>
      </c>
      <c r="E195" s="24">
        <v>8.9</v>
      </c>
      <c r="F195" s="24">
        <v>9.25</v>
      </c>
      <c r="G195" s="24">
        <v>8.3000000000000007</v>
      </c>
      <c r="H195" s="24">
        <v>16.600000000000001</v>
      </c>
      <c r="I195" s="24">
        <v>9.01</v>
      </c>
      <c r="J195" s="25">
        <v>1222</v>
      </c>
      <c r="K195" s="25">
        <v>2662</v>
      </c>
      <c r="L195" s="25">
        <v>8430</v>
      </c>
      <c r="M195" s="18">
        <f t="shared" ref="M195:M258" si="17">VALUE(RIGHT(B195, 6))</f>
        <v>365</v>
      </c>
      <c r="N195" s="19">
        <f t="shared" ref="N195:N258" si="18">DATE(VALUE(LEFT(MID(B195,10,6),4)),VALUE(RIGHT(MID(B195,10,6),2)),1)+MOD(5-WEEKDAY(DATE(VALUE(LEFT(MID(B195,10,6),4)),VALUE(RIGHT(MID(B195,10,6),2)),1)),7)+7</f>
        <v>45456</v>
      </c>
      <c r="O195" s="18" t="b">
        <f t="shared" si="16"/>
        <v>1</v>
      </c>
      <c r="P195" s="43">
        <f>IF(O195,swap_curve!$B$19,"")</f>
        <v>3.5699999999999996E-2</v>
      </c>
      <c r="Q195">
        <v>0.17978657767022735</v>
      </c>
      <c r="R195" cm="1">
        <f t="array" ref="R195">IF(O195,BSCall(swap_curve!$B$20,imvol!M195,imvol!P195,imvol!Q195,YEARFRAC(swap_curve!$C$1,imvol!N195)),"")</f>
        <v>8.929442502578695</v>
      </c>
      <c r="S195" s="20">
        <f t="shared" si="15"/>
        <v>-8.0557497421304802E-2</v>
      </c>
    </row>
    <row r="196" spans="1:19" x14ac:dyDescent="0.3">
      <c r="A196" s="23" t="s">
        <v>888</v>
      </c>
      <c r="B196" s="23" t="s">
        <v>889</v>
      </c>
      <c r="C196" s="24">
        <v>7.65</v>
      </c>
      <c r="D196" s="24">
        <v>1.1299999999999999</v>
      </c>
      <c r="E196" s="24">
        <v>7.6</v>
      </c>
      <c r="F196" s="24">
        <v>7.85</v>
      </c>
      <c r="G196" s="24">
        <v>7.05</v>
      </c>
      <c r="H196" s="24">
        <v>16.100000000000001</v>
      </c>
      <c r="I196" s="24">
        <v>7.65</v>
      </c>
      <c r="J196" s="25">
        <v>55</v>
      </c>
      <c r="K196" s="25">
        <v>105</v>
      </c>
      <c r="L196" s="25">
        <v>329</v>
      </c>
      <c r="M196" s="18">
        <f t="shared" si="17"/>
        <v>367.5</v>
      </c>
      <c r="N196" s="19">
        <f t="shared" si="18"/>
        <v>45456</v>
      </c>
      <c r="O196" s="18" t="b">
        <f t="shared" si="16"/>
        <v>0</v>
      </c>
      <c r="P196" s="43" t="str">
        <f>IF(O196,swap_curve!$B$19,"")</f>
        <v/>
      </c>
      <c r="Q196" t="str">
        <f t="shared" ref="Q196:Q258" si="19">IF(O196,H196%,"")</f>
        <v/>
      </c>
      <c r="R196" t="str" cm="1">
        <f t="array" ref="R196">IF(O196,BSCall(swap_curve!$B$20,imvol!M196,imvol!P196,imvol!Q196,YEARFRAC(swap_curve!$C$1,imvol!N196)),"")</f>
        <v/>
      </c>
      <c r="S196" s="20" t="str">
        <f t="shared" si="15"/>
        <v/>
      </c>
    </row>
    <row r="197" spans="1:19" x14ac:dyDescent="0.3">
      <c r="A197" s="23" t="s">
        <v>216</v>
      </c>
      <c r="B197" s="23" t="s">
        <v>217</v>
      </c>
      <c r="C197" s="24">
        <v>6.58</v>
      </c>
      <c r="D197" s="24">
        <v>1.1200000000000001</v>
      </c>
      <c r="E197" s="24">
        <v>6.5</v>
      </c>
      <c r="F197" s="24">
        <v>6.8</v>
      </c>
      <c r="G197" s="24">
        <v>5.91</v>
      </c>
      <c r="H197" s="24">
        <v>16</v>
      </c>
      <c r="I197" s="24">
        <v>6.58</v>
      </c>
      <c r="J197" s="25">
        <v>1775</v>
      </c>
      <c r="K197" s="25">
        <v>2811</v>
      </c>
      <c r="L197" s="25">
        <v>10166</v>
      </c>
      <c r="M197" s="18">
        <f t="shared" si="17"/>
        <v>370</v>
      </c>
      <c r="N197" s="19">
        <f t="shared" si="18"/>
        <v>45456</v>
      </c>
      <c r="O197" s="18" t="b">
        <f t="shared" si="16"/>
        <v>1</v>
      </c>
      <c r="P197" s="43">
        <f>IF(O197,swap_curve!$B$19,"")</f>
        <v>3.5699999999999996E-2</v>
      </c>
      <c r="Q197">
        <v>0.17771547320829745</v>
      </c>
      <c r="R197" cm="1">
        <f t="array" ref="R197">IF(O197,BSCall(swap_curve!$B$20,imvol!M197,imvol!P197,imvol!Q197,YEARFRAC(swap_curve!$C$1,imvol!N197)),"")</f>
        <v>6.5134898646812189</v>
      </c>
      <c r="S197" s="20">
        <f t="shared" si="15"/>
        <v>-6.6510135318781138E-2</v>
      </c>
    </row>
    <row r="198" spans="1:19" x14ac:dyDescent="0.3">
      <c r="A198" s="23" t="s">
        <v>890</v>
      </c>
      <c r="B198" s="23" t="s">
        <v>891</v>
      </c>
      <c r="C198" s="24">
        <v>5.64</v>
      </c>
      <c r="D198" s="24">
        <v>1.06</v>
      </c>
      <c r="E198" s="24">
        <v>5.37</v>
      </c>
      <c r="F198" s="24">
        <v>5.75</v>
      </c>
      <c r="G198" s="24">
        <v>5.0999999999999996</v>
      </c>
      <c r="H198" s="24">
        <v>16.3</v>
      </c>
      <c r="I198" s="24">
        <v>5.64</v>
      </c>
      <c r="J198" s="25">
        <v>73</v>
      </c>
      <c r="K198" s="25">
        <v>99</v>
      </c>
      <c r="L198" s="25">
        <v>977</v>
      </c>
      <c r="M198" s="18">
        <f t="shared" si="17"/>
        <v>372.5</v>
      </c>
      <c r="N198" s="19">
        <f t="shared" si="18"/>
        <v>45456</v>
      </c>
      <c r="O198" s="18" t="b">
        <f t="shared" si="16"/>
        <v>0</v>
      </c>
      <c r="P198" s="43" t="str">
        <f>IF(O198,swap_curve!$B$19,"")</f>
        <v/>
      </c>
      <c r="Q198" t="str">
        <f t="shared" si="19"/>
        <v/>
      </c>
      <c r="R198" t="str" cm="1">
        <f t="array" ref="R198">IF(O198,BSCall(swap_curve!$B$20,imvol!M198,imvol!P198,imvol!Q198,YEARFRAC(swap_curve!$C$1,imvol!N198)),"")</f>
        <v/>
      </c>
      <c r="S198" s="20" t="str">
        <f t="shared" si="15"/>
        <v/>
      </c>
    </row>
    <row r="199" spans="1:19" x14ac:dyDescent="0.3">
      <c r="A199" s="23" t="s">
        <v>218</v>
      </c>
      <c r="B199" s="23" t="s">
        <v>219</v>
      </c>
      <c r="C199" s="24">
        <v>4.75</v>
      </c>
      <c r="D199" s="24">
        <v>0.9</v>
      </c>
      <c r="E199" s="24">
        <v>4.51</v>
      </c>
      <c r="F199" s="24">
        <v>4.8600000000000003</v>
      </c>
      <c r="G199" s="24">
        <v>4.18</v>
      </c>
      <c r="H199" s="24">
        <v>16.399999999999999</v>
      </c>
      <c r="I199" s="24">
        <v>4.75</v>
      </c>
      <c r="J199" s="25">
        <v>3497</v>
      </c>
      <c r="K199" s="25">
        <v>3933</v>
      </c>
      <c r="L199" s="25">
        <v>11300</v>
      </c>
      <c r="M199" s="18">
        <f t="shared" si="17"/>
        <v>375</v>
      </c>
      <c r="N199" s="19">
        <f t="shared" si="18"/>
        <v>45456</v>
      </c>
      <c r="O199" s="18" t="b">
        <f t="shared" si="16"/>
        <v>1</v>
      </c>
      <c r="P199" s="43">
        <f>IF(O199,swap_curve!$B$19,"")</f>
        <v>3.5699999999999996E-2</v>
      </c>
      <c r="Q199">
        <v>0.17862135338511095</v>
      </c>
      <c r="R199" cm="1">
        <f t="array" ref="R199">IF(O199,BSCall(swap_curve!$B$20,imvol!M199,imvol!P199,imvol!Q199,YEARFRAC(swap_curve!$C$1,imvol!N199)),"")</f>
        <v>4.6969785825312158</v>
      </c>
      <c r="S199" s="20">
        <f t="shared" si="15"/>
        <v>-5.3021417468784193E-2</v>
      </c>
    </row>
    <row r="200" spans="1:19" x14ac:dyDescent="0.3">
      <c r="A200" s="23" t="s">
        <v>892</v>
      </c>
      <c r="B200" s="23" t="s">
        <v>893</v>
      </c>
      <c r="C200" s="24">
        <v>3.95</v>
      </c>
      <c r="D200" s="24">
        <v>0.8</v>
      </c>
      <c r="E200" s="24">
        <v>3.84</v>
      </c>
      <c r="F200" s="24">
        <v>4.03</v>
      </c>
      <c r="G200" s="24">
        <v>3.55</v>
      </c>
      <c r="H200" s="24">
        <v>16.3</v>
      </c>
      <c r="I200" s="24">
        <v>3.95</v>
      </c>
      <c r="J200" s="25">
        <v>574</v>
      </c>
      <c r="K200" s="25">
        <v>540</v>
      </c>
      <c r="L200" s="25">
        <v>2187</v>
      </c>
      <c r="M200" s="18">
        <f t="shared" si="17"/>
        <v>377.5</v>
      </c>
      <c r="N200" s="19">
        <f t="shared" si="18"/>
        <v>45456</v>
      </c>
      <c r="O200" s="18" t="b">
        <f t="shared" si="16"/>
        <v>1</v>
      </c>
      <c r="P200" s="43">
        <f>IF(O200,swap_curve!$B$19,"")</f>
        <v>3.5699999999999996E-2</v>
      </c>
      <c r="Q200">
        <v>0.17795908295816698</v>
      </c>
      <c r="R200" cm="1">
        <f t="array" ref="R200">IF(O200,BSCall(swap_curve!$B$20,imvol!M200,imvol!P200,imvol!Q200,YEARFRAC(swap_curve!$C$1,imvol!N200)),"")</f>
        <v>3.9034270183724402</v>
      </c>
      <c r="S200" s="20">
        <f t="shared" si="15"/>
        <v>-4.6572981627559962E-2</v>
      </c>
    </row>
    <row r="201" spans="1:19" x14ac:dyDescent="0.3">
      <c r="A201" s="23" t="s">
        <v>220</v>
      </c>
      <c r="B201" s="23" t="s">
        <v>221</v>
      </c>
      <c r="C201" s="24">
        <v>3.2</v>
      </c>
      <c r="D201" s="24">
        <v>0.59</v>
      </c>
      <c r="E201" s="24">
        <v>3.1</v>
      </c>
      <c r="F201" s="24">
        <v>3.34</v>
      </c>
      <c r="G201" s="24">
        <v>2.87</v>
      </c>
      <c r="H201" s="24">
        <v>15.9</v>
      </c>
      <c r="I201" s="24">
        <v>3.2</v>
      </c>
      <c r="J201" s="25">
        <v>3619</v>
      </c>
      <c r="K201" s="25">
        <v>2827</v>
      </c>
      <c r="L201" s="25">
        <v>15397</v>
      </c>
      <c r="M201" s="18">
        <f t="shared" si="17"/>
        <v>380</v>
      </c>
      <c r="N201" s="19">
        <f t="shared" si="18"/>
        <v>45456</v>
      </c>
      <c r="O201" s="18" t="b">
        <f t="shared" si="16"/>
        <v>1</v>
      </c>
      <c r="P201" s="43">
        <f>IF(O201,swap_curve!$B$19,"")</f>
        <v>3.5699999999999996E-2</v>
      </c>
      <c r="Q201">
        <v>0.17589281404729293</v>
      </c>
      <c r="R201" cm="1">
        <f t="array" ref="R201">IF(O201,BSCall(swap_curve!$B$20,imvol!M201,imvol!P201,imvol!Q201,YEARFRAC(swap_curve!$C$1,imvol!N201)),"")</f>
        <v>3.1597856683085865</v>
      </c>
      <c r="S201" s="20">
        <f t="shared" si="15"/>
        <v>-4.0214331691413641E-2</v>
      </c>
    </row>
    <row r="202" spans="1:19" x14ac:dyDescent="0.3">
      <c r="A202" s="23" t="s">
        <v>894</v>
      </c>
      <c r="B202" s="23" t="s">
        <v>895</v>
      </c>
      <c r="C202" s="24">
        <v>2.6</v>
      </c>
      <c r="D202" s="24">
        <v>0.5</v>
      </c>
      <c r="E202" s="24">
        <v>2.66</v>
      </c>
      <c r="F202" s="24">
        <v>2.72</v>
      </c>
      <c r="G202" s="24">
        <v>2.37</v>
      </c>
      <c r="H202" s="24">
        <v>15.8</v>
      </c>
      <c r="I202" s="24">
        <v>2.6</v>
      </c>
      <c r="J202" s="25">
        <v>127</v>
      </c>
      <c r="K202" s="25">
        <v>81</v>
      </c>
      <c r="L202" s="25">
        <v>1182</v>
      </c>
      <c r="M202" s="18">
        <f t="shared" si="17"/>
        <v>382.5</v>
      </c>
      <c r="N202" s="19">
        <f t="shared" si="18"/>
        <v>45456</v>
      </c>
      <c r="O202" s="18" t="b">
        <f t="shared" si="16"/>
        <v>1</v>
      </c>
      <c r="P202" s="43">
        <f>IF(O202,swap_curve!$B$19,"")</f>
        <v>3.5699999999999996E-2</v>
      </c>
      <c r="Q202">
        <v>0.17511765437429216</v>
      </c>
      <c r="R202" cm="1">
        <f t="array" ref="R202">IF(O202,BSCall(swap_curve!$B$20,imvol!M202,imvol!P202,imvol!Q202,YEARFRAC(swap_curve!$C$1,imvol!N202)),"")</f>
        <v>2.5655247838109858</v>
      </c>
      <c r="S202" s="20">
        <f t="shared" si="15"/>
        <v>-3.4475216189014279E-2</v>
      </c>
    </row>
    <row r="203" spans="1:19" x14ac:dyDescent="0.3">
      <c r="A203" s="23" t="s">
        <v>222</v>
      </c>
      <c r="B203" s="23" t="s">
        <v>223</v>
      </c>
      <c r="C203" s="24">
        <v>2.1</v>
      </c>
      <c r="D203" s="24">
        <v>0.4</v>
      </c>
      <c r="E203" s="24">
        <v>2.0099999999999998</v>
      </c>
      <c r="F203" s="24">
        <v>2.23</v>
      </c>
      <c r="G203" s="24">
        <v>1.89</v>
      </c>
      <c r="H203" s="24">
        <v>15.8</v>
      </c>
      <c r="I203" s="24">
        <v>2.1</v>
      </c>
      <c r="J203" s="25">
        <v>2173</v>
      </c>
      <c r="K203" s="25">
        <v>1094</v>
      </c>
      <c r="L203" s="25">
        <v>5383</v>
      </c>
      <c r="M203" s="18">
        <f t="shared" si="17"/>
        <v>385</v>
      </c>
      <c r="N203" s="19">
        <f t="shared" si="18"/>
        <v>45456</v>
      </c>
      <c r="O203" s="18" t="b">
        <f t="shared" si="16"/>
        <v>1</v>
      </c>
      <c r="P203" s="43">
        <f>IF(O203,swap_curve!$B$19,"")</f>
        <v>3.5699999999999996E-2</v>
      </c>
      <c r="Q203">
        <v>0.17466371397710487</v>
      </c>
      <c r="R203" cm="1">
        <f t="array" ref="R203">IF(O203,BSCall(swap_curve!$B$20,imvol!M203,imvol!P203,imvol!Q203,YEARFRAC(swap_curve!$C$1,imvol!N203)),"")</f>
        <v>2.070724935579662</v>
      </c>
      <c r="S203" s="20">
        <f t="shared" si="15"/>
        <v>-2.9275064420338115E-2</v>
      </c>
    </row>
    <row r="204" spans="1:19" x14ac:dyDescent="0.3">
      <c r="A204" s="23" t="s">
        <v>896</v>
      </c>
      <c r="B204" s="23" t="s">
        <v>897</v>
      </c>
      <c r="C204" s="24">
        <v>1.7</v>
      </c>
      <c r="D204" s="24">
        <v>0.33</v>
      </c>
      <c r="E204" s="24">
        <v>1.7</v>
      </c>
      <c r="F204" s="24">
        <v>1.79</v>
      </c>
      <c r="G204" s="24">
        <v>1.58</v>
      </c>
      <c r="H204" s="24">
        <v>15.8</v>
      </c>
      <c r="I204" s="24">
        <v>1.7</v>
      </c>
      <c r="J204" s="25">
        <v>235</v>
      </c>
      <c r="K204" s="25">
        <v>98</v>
      </c>
      <c r="L204" s="25">
        <v>1448</v>
      </c>
      <c r="M204" s="18">
        <f t="shared" si="17"/>
        <v>387.5</v>
      </c>
      <c r="N204" s="19">
        <f t="shared" si="18"/>
        <v>45456</v>
      </c>
      <c r="O204" s="18" t="b">
        <f t="shared" si="16"/>
        <v>1</v>
      </c>
      <c r="P204" s="43">
        <f>IF(O204,swap_curve!$B$19,"")</f>
        <v>3.5699999999999996E-2</v>
      </c>
      <c r="Q204">
        <v>0.17493694695046053</v>
      </c>
      <c r="R204" cm="1">
        <f t="array" ref="R204">IF(O204,BSCall(swap_curve!$B$20,imvol!M204,imvol!P204,imvol!Q204,YEARFRAC(swap_curve!$C$1,imvol!N204)),"")</f>
        <v>1.675259638892193</v>
      </c>
      <c r="S204" s="20">
        <f t="shared" si="15"/>
        <v>-2.4740361107806974E-2</v>
      </c>
    </row>
    <row r="205" spans="1:19" x14ac:dyDescent="0.3">
      <c r="A205" s="23" t="s">
        <v>224</v>
      </c>
      <c r="B205" s="23" t="s">
        <v>225</v>
      </c>
      <c r="C205" s="24">
        <v>1.37</v>
      </c>
      <c r="D205" s="24">
        <v>0.28000000000000003</v>
      </c>
      <c r="E205" s="24">
        <v>1.31</v>
      </c>
      <c r="F205" s="24">
        <v>1.44</v>
      </c>
      <c r="G205" s="24">
        <v>1.2</v>
      </c>
      <c r="H205" s="24">
        <v>15.8</v>
      </c>
      <c r="I205" s="24">
        <v>1.37</v>
      </c>
      <c r="J205" s="25">
        <v>774</v>
      </c>
      <c r="K205" s="25">
        <v>263</v>
      </c>
      <c r="L205" s="25">
        <v>14614</v>
      </c>
      <c r="M205" s="18">
        <f t="shared" si="17"/>
        <v>390</v>
      </c>
      <c r="N205" s="19">
        <f t="shared" si="18"/>
        <v>45456</v>
      </c>
      <c r="O205" s="18" t="b">
        <f t="shared" si="16"/>
        <v>1</v>
      </c>
      <c r="P205" s="43">
        <f>IF(O205,swap_curve!$B$19,"")</f>
        <v>3.5699999999999996E-2</v>
      </c>
      <c r="Q205">
        <v>0.17537036797422081</v>
      </c>
      <c r="R205" cm="1">
        <f t="array" ref="R205">IF(O205,BSCall(swap_curve!$B$20,imvol!M205,imvol!P205,imvol!Q205,YEARFRAC(swap_curve!$C$1,imvol!N205)),"")</f>
        <v>1.3492450133474634</v>
      </c>
      <c r="S205" s="20">
        <f t="shared" si="15"/>
        <v>-2.0754986652536722E-2</v>
      </c>
    </row>
    <row r="206" spans="1:19" x14ac:dyDescent="0.3">
      <c r="A206" s="23" t="s">
        <v>898</v>
      </c>
      <c r="B206" s="23" t="s">
        <v>899</v>
      </c>
      <c r="C206" s="24">
        <v>1.08</v>
      </c>
      <c r="D206" s="24">
        <v>0.2</v>
      </c>
      <c r="E206" s="24">
        <v>1.05</v>
      </c>
      <c r="F206" s="24">
        <v>1.2</v>
      </c>
      <c r="G206" s="24">
        <v>0.96</v>
      </c>
      <c r="H206" s="24">
        <v>15.8</v>
      </c>
      <c r="I206" s="24">
        <v>1.08</v>
      </c>
      <c r="J206" s="25">
        <v>464</v>
      </c>
      <c r="K206" s="25">
        <v>123</v>
      </c>
      <c r="L206" s="25">
        <v>1242</v>
      </c>
      <c r="M206" s="18">
        <f t="shared" si="17"/>
        <v>392.5</v>
      </c>
      <c r="N206" s="19">
        <f t="shared" si="18"/>
        <v>45456</v>
      </c>
      <c r="O206" s="18" t="b">
        <f t="shared" si="16"/>
        <v>1</v>
      </c>
      <c r="P206" s="43">
        <f>IF(O206,swap_curve!$B$19,"")</f>
        <v>3.5699999999999996E-2</v>
      </c>
      <c r="Q206">
        <v>0.17505623619976052</v>
      </c>
      <c r="R206" cm="1">
        <f t="array" ref="R206">IF(O206,BSCall(swap_curve!$B$20,imvol!M206,imvol!P206,imvol!Q206,YEARFRAC(swap_curve!$C$1,imvol!N206)),"")</f>
        <v>1.0628871361691736</v>
      </c>
      <c r="S206" s="20">
        <f t="shared" si="15"/>
        <v>-1.7112863830826441E-2</v>
      </c>
    </row>
    <row r="207" spans="1:19" x14ac:dyDescent="0.3">
      <c r="A207" s="23" t="s">
        <v>226</v>
      </c>
      <c r="B207" s="23" t="s">
        <v>227</v>
      </c>
      <c r="C207" s="24">
        <v>0.85</v>
      </c>
      <c r="D207" s="24">
        <v>0.17</v>
      </c>
      <c r="E207" s="24">
        <v>0.84</v>
      </c>
      <c r="F207" s="24">
        <v>0.91</v>
      </c>
      <c r="G207" s="24">
        <v>0.77</v>
      </c>
      <c r="H207" s="24">
        <v>15.7</v>
      </c>
      <c r="I207" s="24">
        <v>0.85</v>
      </c>
      <c r="J207" s="25">
        <v>866</v>
      </c>
      <c r="K207" s="25">
        <v>182</v>
      </c>
      <c r="L207" s="25">
        <v>5067</v>
      </c>
      <c r="M207" s="18">
        <f t="shared" si="17"/>
        <v>395</v>
      </c>
      <c r="N207" s="19">
        <f t="shared" si="18"/>
        <v>45456</v>
      </c>
      <c r="O207" s="18" t="b">
        <f t="shared" si="16"/>
        <v>1</v>
      </c>
      <c r="P207" s="43">
        <f>IF(O207,swap_curve!$B$19,"")</f>
        <v>3.5699999999999996E-2</v>
      </c>
      <c r="Q207">
        <v>0.17510002358027055</v>
      </c>
      <c r="R207" cm="1">
        <f t="array" ref="R207">IF(O207,BSCall(swap_curve!$B$20,imvol!M207,imvol!P207,imvol!Q207,YEARFRAC(swap_curve!$C$1,imvol!N207)),"")</f>
        <v>0.83597326749188028</v>
      </c>
      <c r="S207" s="20">
        <f t="shared" si="15"/>
        <v>-1.4026732508119699E-2</v>
      </c>
    </row>
    <row r="208" spans="1:19" x14ac:dyDescent="0.3">
      <c r="A208" s="23" t="s">
        <v>900</v>
      </c>
      <c r="B208" s="23" t="s">
        <v>901</v>
      </c>
      <c r="C208" s="24">
        <v>0.68</v>
      </c>
      <c r="D208" s="24">
        <v>0.13</v>
      </c>
      <c r="E208" s="24">
        <v>0.64</v>
      </c>
      <c r="F208" s="24">
        <v>0.72</v>
      </c>
      <c r="G208" s="24">
        <v>0.61</v>
      </c>
      <c r="H208" s="24">
        <v>15.9</v>
      </c>
      <c r="I208" s="24">
        <v>0.68</v>
      </c>
      <c r="J208" s="25">
        <v>910</v>
      </c>
      <c r="K208" s="25">
        <v>152</v>
      </c>
      <c r="L208" s="25">
        <v>1286</v>
      </c>
      <c r="M208" s="18">
        <f t="shared" si="17"/>
        <v>397.5</v>
      </c>
      <c r="N208" s="19">
        <f t="shared" si="18"/>
        <v>45456</v>
      </c>
      <c r="O208" s="18" t="b">
        <f t="shared" si="16"/>
        <v>1</v>
      </c>
      <c r="P208" s="43">
        <f>IF(O208,swap_curve!$B$19,"")</f>
        <v>3.5699999999999996E-2</v>
      </c>
      <c r="Q208">
        <v>0.17614843130873512</v>
      </c>
      <c r="R208" cm="1">
        <f t="array" ref="R208">IF(O208,BSCall(swap_curve!$B$20,imvol!M208,imvol!P208,imvol!Q208,YEARFRAC(swap_curve!$C$1,imvol!N208)),"")</f>
        <v>0.66842872859808367</v>
      </c>
      <c r="S208" s="20">
        <f t="shared" si="15"/>
        <v>-1.1571271401916383E-2</v>
      </c>
    </row>
    <row r="209" spans="1:19" x14ac:dyDescent="0.3">
      <c r="A209" s="23" t="s">
        <v>228</v>
      </c>
      <c r="B209" s="23" t="s">
        <v>229</v>
      </c>
      <c r="C209" s="24">
        <v>0.53</v>
      </c>
      <c r="D209" s="24">
        <v>0.1</v>
      </c>
      <c r="E209" s="24">
        <v>0.54</v>
      </c>
      <c r="F209" s="24">
        <v>0.56999999999999995</v>
      </c>
      <c r="G209" s="24">
        <v>0.48</v>
      </c>
      <c r="H209" s="24">
        <v>15.9</v>
      </c>
      <c r="I209" s="24">
        <v>0.53</v>
      </c>
      <c r="J209" s="25">
        <v>2393</v>
      </c>
      <c r="K209" s="25">
        <v>323</v>
      </c>
      <c r="L209" s="25">
        <v>13289</v>
      </c>
      <c r="M209" s="18">
        <f t="shared" si="17"/>
        <v>400</v>
      </c>
      <c r="N209" s="19">
        <f t="shared" si="18"/>
        <v>45456</v>
      </c>
      <c r="O209" s="18" t="b">
        <f t="shared" si="16"/>
        <v>1</v>
      </c>
      <c r="P209" s="43">
        <f>IF(O209,swap_curve!$B$19,"")</f>
        <v>3.5699999999999996E-2</v>
      </c>
      <c r="Q209">
        <v>0.17636054226135356</v>
      </c>
      <c r="R209" cm="1">
        <f t="array" ref="R209">IF(O209,BSCall(swap_curve!$B$20,imvol!M209,imvol!P209,imvol!Q209,YEARFRAC(swap_curve!$C$1,imvol!N209)),"")</f>
        <v>0.52064593479682486</v>
      </c>
      <c r="S209" s="20">
        <f t="shared" si="15"/>
        <v>-9.3540652031751659E-3</v>
      </c>
    </row>
    <row r="210" spans="1:19" x14ac:dyDescent="0.3">
      <c r="A210" s="23" t="s">
        <v>902</v>
      </c>
      <c r="B210" s="23" t="s">
        <v>903</v>
      </c>
      <c r="C210" s="24">
        <v>0.41</v>
      </c>
      <c r="D210" s="24">
        <v>7.0000000000000007E-2</v>
      </c>
      <c r="E210" s="24">
        <v>0.43</v>
      </c>
      <c r="F210" s="24">
        <v>0.45</v>
      </c>
      <c r="G210" s="24">
        <v>0.39</v>
      </c>
      <c r="H210" s="24">
        <v>15.9</v>
      </c>
      <c r="I210" s="24">
        <v>0.41</v>
      </c>
      <c r="J210" s="25">
        <v>451</v>
      </c>
      <c r="K210" s="25">
        <v>47</v>
      </c>
      <c r="L210" s="25">
        <v>1147</v>
      </c>
      <c r="M210" s="18">
        <f t="shared" si="17"/>
        <v>402.5</v>
      </c>
      <c r="N210" s="19">
        <f t="shared" si="18"/>
        <v>45456</v>
      </c>
      <c r="O210" s="18" t="b">
        <f t="shared" si="16"/>
        <v>1</v>
      </c>
      <c r="P210" s="43">
        <f>IF(O210,swap_curve!$B$19,"")</f>
        <v>3.5699999999999996E-2</v>
      </c>
      <c r="Q210">
        <v>0.17656490616122369</v>
      </c>
      <c r="R210" cm="1">
        <f t="array" ref="R210">IF(O210,BSCall(swap_curve!$B$20,imvol!M210,imvol!P210,imvol!Q210,YEARFRAC(swap_curve!$C$1,imvol!N210)),"")</f>
        <v>0.40250355164409157</v>
      </c>
      <c r="S210" s="20">
        <f t="shared" si="15"/>
        <v>-7.4964483559084027E-3</v>
      </c>
    </row>
    <row r="211" spans="1:19" x14ac:dyDescent="0.3">
      <c r="A211" s="23" t="s">
        <v>230</v>
      </c>
      <c r="B211" s="23" t="s">
        <v>231</v>
      </c>
      <c r="C211" s="24">
        <v>0.33</v>
      </c>
      <c r="D211" s="24">
        <v>0.04</v>
      </c>
      <c r="E211" s="24">
        <v>0.34</v>
      </c>
      <c r="F211" s="24">
        <v>0.36</v>
      </c>
      <c r="G211" s="24">
        <v>0.31</v>
      </c>
      <c r="H211" s="24">
        <v>16.2</v>
      </c>
      <c r="I211" s="24">
        <v>0.33</v>
      </c>
      <c r="J211" s="25">
        <v>274</v>
      </c>
      <c r="K211" s="25">
        <v>23</v>
      </c>
      <c r="L211" s="25">
        <v>2737</v>
      </c>
      <c r="M211" s="18">
        <f t="shared" si="17"/>
        <v>405</v>
      </c>
      <c r="N211" s="19">
        <f t="shared" si="18"/>
        <v>45456</v>
      </c>
      <c r="O211" s="18" t="b">
        <f t="shared" si="16"/>
        <v>1</v>
      </c>
      <c r="P211" s="43">
        <f>IF(O211,swap_curve!$B$19,"")</f>
        <v>3.5699999999999996E-2</v>
      </c>
      <c r="Q211">
        <v>0.1782947023289923</v>
      </c>
      <c r="R211" cm="1">
        <f t="array" ref="R211">IF(O211,BSCall(swap_curve!$B$20,imvol!M211,imvol!P211,imvol!Q211,YEARFRAC(swap_curve!$C$1,imvol!N211)),"")</f>
        <v>0.32384047622666223</v>
      </c>
      <c r="S211" s="20">
        <f t="shared" si="15"/>
        <v>-6.1595237733377828E-3</v>
      </c>
    </row>
    <row r="212" spans="1:19" x14ac:dyDescent="0.3">
      <c r="A212" s="23" t="s">
        <v>904</v>
      </c>
      <c r="B212" s="23" t="s">
        <v>905</v>
      </c>
      <c r="C212" s="24">
        <v>0.26</v>
      </c>
      <c r="D212" s="24">
        <v>0.03</v>
      </c>
      <c r="E212" s="24">
        <v>0.26</v>
      </c>
      <c r="F212" s="24">
        <v>0.28000000000000003</v>
      </c>
      <c r="G212" s="24">
        <v>0.25</v>
      </c>
      <c r="H212" s="24">
        <v>16.2</v>
      </c>
      <c r="I212" s="24">
        <v>0.26</v>
      </c>
      <c r="J212" s="25">
        <v>377</v>
      </c>
      <c r="K212" s="25">
        <v>25</v>
      </c>
      <c r="L212" s="25">
        <v>1221</v>
      </c>
      <c r="M212" s="18">
        <f t="shared" si="17"/>
        <v>407.5</v>
      </c>
      <c r="N212" s="19">
        <f t="shared" si="18"/>
        <v>45456</v>
      </c>
      <c r="O212" s="18" t="b">
        <f t="shared" si="16"/>
        <v>1</v>
      </c>
      <c r="P212" s="43">
        <f>IF(O212,swap_curve!$B$19,"")</f>
        <v>3.5699999999999996E-2</v>
      </c>
      <c r="Q212">
        <v>0.17938789132689892</v>
      </c>
      <c r="R212" cm="1">
        <f t="array" ref="R212">IF(O212,BSCall(swap_curve!$B$20,imvol!M212,imvol!P212,imvol!Q212,YEARFRAC(swap_curve!$C$1,imvol!N212)),"")</f>
        <v>0.25502444142774117</v>
      </c>
      <c r="S212" s="20">
        <f t="shared" si="15"/>
        <v>-4.9755585722588425E-3</v>
      </c>
    </row>
    <row r="213" spans="1:19" x14ac:dyDescent="0.3">
      <c r="A213" s="23" t="s">
        <v>232</v>
      </c>
      <c r="B213" s="23" t="s">
        <v>233</v>
      </c>
      <c r="C213" s="24">
        <v>0.21</v>
      </c>
      <c r="D213" s="24">
        <v>0.02</v>
      </c>
      <c r="E213" s="24">
        <v>0.22</v>
      </c>
      <c r="F213" s="24">
        <v>0.23</v>
      </c>
      <c r="G213" s="24">
        <v>0.2</v>
      </c>
      <c r="H213" s="24">
        <v>16.3</v>
      </c>
      <c r="I213" s="24">
        <v>0.21</v>
      </c>
      <c r="J213" s="25">
        <v>2371</v>
      </c>
      <c r="K213" s="25">
        <v>123</v>
      </c>
      <c r="L213" s="25">
        <v>12909</v>
      </c>
      <c r="M213" s="18">
        <f t="shared" si="17"/>
        <v>410</v>
      </c>
      <c r="N213" s="19">
        <f t="shared" si="18"/>
        <v>45456</v>
      </c>
      <c r="O213" s="18" t="b">
        <f t="shared" si="16"/>
        <v>1</v>
      </c>
      <c r="P213" s="43">
        <f>IF(O213,swap_curve!$B$19,"")</f>
        <v>3.5699999999999996E-2</v>
      </c>
      <c r="Q213">
        <v>0.18129050821480838</v>
      </c>
      <c r="R213" cm="1">
        <f t="array" ref="R213">IF(O213,BSCall(swap_curve!$B$20,imvol!M213,imvol!P213,imvol!Q213,YEARFRAC(swap_curve!$C$1,imvol!N213)),"")</f>
        <v>0.2059141662614028</v>
      </c>
      <c r="S213" s="20">
        <f t="shared" si="15"/>
        <v>-4.0858337385971943E-3</v>
      </c>
    </row>
    <row r="214" spans="1:19" x14ac:dyDescent="0.3">
      <c r="A214" s="23" t="s">
        <v>906</v>
      </c>
      <c r="B214" s="23" t="s">
        <v>907</v>
      </c>
      <c r="C214" s="24">
        <v>0.16</v>
      </c>
      <c r="D214" s="24">
        <v>0.01</v>
      </c>
      <c r="E214" s="24">
        <v>0.19</v>
      </c>
      <c r="F214" s="24">
        <v>0.19</v>
      </c>
      <c r="G214" s="24">
        <v>0.16</v>
      </c>
      <c r="H214" s="24">
        <v>16.399999999999999</v>
      </c>
      <c r="I214" s="24">
        <v>0.16</v>
      </c>
      <c r="J214" s="25">
        <v>71</v>
      </c>
      <c r="K214" s="25">
        <v>3</v>
      </c>
      <c r="L214" s="25">
        <v>707</v>
      </c>
      <c r="M214" s="18">
        <f t="shared" si="17"/>
        <v>412.5</v>
      </c>
      <c r="N214" s="19">
        <f t="shared" si="18"/>
        <v>45456</v>
      </c>
      <c r="O214" s="18" t="b">
        <f t="shared" si="16"/>
        <v>0</v>
      </c>
      <c r="P214" s="43" t="str">
        <f>IF(O214,swap_curve!$B$19,"")</f>
        <v/>
      </c>
      <c r="Q214" t="str">
        <f t="shared" si="19"/>
        <v/>
      </c>
      <c r="R214" t="str" cm="1">
        <f t="array" ref="R214">IF(O214,BSCall(swap_curve!$B$20,imvol!M214,imvol!P214,imvol!Q214,YEARFRAC(swap_curve!$C$1,imvol!N214)),"")</f>
        <v/>
      </c>
      <c r="S214" s="20" t="str">
        <f t="shared" si="15"/>
        <v/>
      </c>
    </row>
    <row r="215" spans="1:19" x14ac:dyDescent="0.3">
      <c r="A215" s="23" t="s">
        <v>234</v>
      </c>
      <c r="B215" s="23" t="s">
        <v>235</v>
      </c>
      <c r="C215" s="24">
        <v>0.13</v>
      </c>
      <c r="D215" s="24">
        <v>-0.01</v>
      </c>
      <c r="E215" s="24">
        <v>0.14000000000000001</v>
      </c>
      <c r="F215" s="24">
        <v>0.15</v>
      </c>
      <c r="G215" s="24">
        <v>0.13</v>
      </c>
      <c r="H215" s="24">
        <v>16.7</v>
      </c>
      <c r="I215" s="24">
        <v>0.13</v>
      </c>
      <c r="J215" s="25">
        <v>119</v>
      </c>
      <c r="K215" s="25">
        <v>4</v>
      </c>
      <c r="L215" s="25">
        <v>1429</v>
      </c>
      <c r="M215" s="21">
        <f t="shared" si="17"/>
        <v>415</v>
      </c>
      <c r="N215" s="22">
        <f t="shared" si="18"/>
        <v>45456</v>
      </c>
      <c r="O215" s="21" t="b">
        <f t="shared" si="16"/>
        <v>1</v>
      </c>
      <c r="P215" s="43">
        <f>IF(O215,swap_curve!$B$19,"")</f>
        <v>3.5699999999999996E-2</v>
      </c>
      <c r="Q215">
        <v>0.18367216558140059</v>
      </c>
      <c r="R215" cm="1">
        <f t="array" ref="R215">IF(O215,BSCall(swap_curve!$B$20,imvol!M215,imvol!P215,imvol!Q215,YEARFRAC(swap_curve!$C$1,imvol!N215)),"")</f>
        <v>0.12736087790790762</v>
      </c>
      <c r="S215" s="20">
        <f t="shared" si="15"/>
        <v>-2.639122092092383E-3</v>
      </c>
    </row>
    <row r="216" spans="1:19" x14ac:dyDescent="0.3">
      <c r="A216" s="23" t="s">
        <v>908</v>
      </c>
      <c r="B216" s="23" t="s">
        <v>909</v>
      </c>
      <c r="C216" s="24">
        <v>0.11</v>
      </c>
      <c r="D216" s="24">
        <v>-0.01</v>
      </c>
      <c r="E216" s="24">
        <v>0.12</v>
      </c>
      <c r="F216" s="24">
        <v>0.12</v>
      </c>
      <c r="G216" s="24">
        <v>0.1</v>
      </c>
      <c r="H216" s="24">
        <v>16.899999999999999</v>
      </c>
      <c r="I216" s="24">
        <v>0.11</v>
      </c>
      <c r="J216" s="25">
        <v>16</v>
      </c>
      <c r="K216" s="25">
        <v>0</v>
      </c>
      <c r="L216" s="25">
        <v>600</v>
      </c>
      <c r="M216" s="21">
        <f t="shared" si="17"/>
        <v>417.5</v>
      </c>
      <c r="N216" s="22">
        <f t="shared" si="18"/>
        <v>45456</v>
      </c>
      <c r="O216" s="21" t="b">
        <f t="shared" si="16"/>
        <v>0</v>
      </c>
      <c r="P216" s="43" t="str">
        <f>IF(O216,swap_curve!$B$19,"")</f>
        <v/>
      </c>
      <c r="Q216" t="str">
        <f t="shared" si="19"/>
        <v/>
      </c>
      <c r="R216" t="str" cm="1">
        <f t="array" ref="R216">IF(O216,BSCall(swap_curve!$B$20,imvol!M216,imvol!P216,imvol!Q216,YEARFRAC(swap_curve!$C$1,imvol!N216)),"")</f>
        <v/>
      </c>
      <c r="S216" s="20" t="str">
        <f t="shared" si="15"/>
        <v/>
      </c>
    </row>
    <row r="217" spans="1:19" x14ac:dyDescent="0.3">
      <c r="A217" s="23" t="s">
        <v>236</v>
      </c>
      <c r="B217" s="23" t="s">
        <v>237</v>
      </c>
      <c r="C217" s="24">
        <v>0.09</v>
      </c>
      <c r="D217" s="24">
        <v>-0.01</v>
      </c>
      <c r="E217" s="24">
        <v>0.1</v>
      </c>
      <c r="F217" s="24">
        <v>0.1</v>
      </c>
      <c r="G217" s="24">
        <v>0.08</v>
      </c>
      <c r="H217" s="24">
        <v>17.100000000000001</v>
      </c>
      <c r="I217" s="24">
        <v>0.09</v>
      </c>
      <c r="J217" s="25">
        <v>37</v>
      </c>
      <c r="K217" s="25">
        <v>1</v>
      </c>
      <c r="L217" s="25">
        <v>7641</v>
      </c>
      <c r="M217" s="18">
        <f t="shared" si="17"/>
        <v>420</v>
      </c>
      <c r="N217" s="19">
        <f t="shared" si="18"/>
        <v>45456</v>
      </c>
      <c r="O217" s="18" t="b">
        <f t="shared" si="16"/>
        <v>0</v>
      </c>
      <c r="P217" s="43" t="str">
        <f>IF(O217,swap_curve!$B$19,"")</f>
        <v/>
      </c>
      <c r="Q217" t="str">
        <f t="shared" si="19"/>
        <v/>
      </c>
      <c r="R217" t="str" cm="1">
        <f t="array" ref="R217">IF(O217,BSCall(swap_curve!$B$20,imvol!M217,imvol!P217,imvol!Q217,YEARFRAC(swap_curve!$C$1,imvol!N217)),"")</f>
        <v/>
      </c>
      <c r="S217" s="20" t="str">
        <f t="shared" si="15"/>
        <v/>
      </c>
    </row>
    <row r="218" spans="1:19" x14ac:dyDescent="0.3">
      <c r="A218" s="23" t="s">
        <v>910</v>
      </c>
      <c r="B218" s="23" t="s">
        <v>911</v>
      </c>
      <c r="C218" s="24">
        <v>0.08</v>
      </c>
      <c r="D218" s="24">
        <v>0</v>
      </c>
      <c r="E218" s="24">
        <v>0.08</v>
      </c>
      <c r="F218" s="24">
        <v>0.08</v>
      </c>
      <c r="G218" s="24">
        <v>0.08</v>
      </c>
      <c r="H218" s="24">
        <v>17.8</v>
      </c>
      <c r="I218" s="24">
        <v>0.08</v>
      </c>
      <c r="J218" s="25">
        <v>209</v>
      </c>
      <c r="K218" s="25">
        <v>4</v>
      </c>
      <c r="L218" s="25">
        <v>1064</v>
      </c>
      <c r="M218" s="18">
        <f t="shared" si="17"/>
        <v>422.5</v>
      </c>
      <c r="N218" s="19">
        <f t="shared" si="18"/>
        <v>45456</v>
      </c>
      <c r="O218" s="18" t="b">
        <f t="shared" si="16"/>
        <v>1</v>
      </c>
      <c r="P218" s="43">
        <f>IF(O218,swap_curve!$B$19,"")</f>
        <v>3.5699999999999996E-2</v>
      </c>
      <c r="Q218">
        <v>0.19305657454437683</v>
      </c>
      <c r="R218" cm="1">
        <f t="array" ref="R218">IF(O218,BSCall(swap_curve!$B$20,imvol!M218,imvol!P218,imvol!Q218,YEARFRAC(swap_curve!$C$1,imvol!N218)),"")</f>
        <v>7.8367486955329912E-2</v>
      </c>
      <c r="S218" s="20">
        <f t="shared" si="15"/>
        <v>-1.6325130446700892E-3</v>
      </c>
    </row>
    <row r="219" spans="1:19" x14ac:dyDescent="0.3">
      <c r="A219" s="23" t="s">
        <v>238</v>
      </c>
      <c r="B219" s="23" t="s">
        <v>239</v>
      </c>
      <c r="C219" s="24">
        <v>0.06</v>
      </c>
      <c r="D219" s="24">
        <v>0</v>
      </c>
      <c r="E219" s="24">
        <v>7.0000000000000007E-2</v>
      </c>
      <c r="F219" s="24">
        <v>7.0000000000000007E-2</v>
      </c>
      <c r="G219" s="24">
        <v>0.06</v>
      </c>
      <c r="H219" s="24">
        <v>17.600000000000001</v>
      </c>
      <c r="I219" s="24">
        <v>0.06</v>
      </c>
      <c r="J219" s="25">
        <v>90</v>
      </c>
      <c r="K219" s="25">
        <v>1</v>
      </c>
      <c r="L219" s="25">
        <v>978</v>
      </c>
      <c r="M219" s="18">
        <f t="shared" si="17"/>
        <v>425</v>
      </c>
      <c r="N219" s="19">
        <f t="shared" si="18"/>
        <v>45456</v>
      </c>
      <c r="O219" s="18" t="b">
        <f t="shared" si="16"/>
        <v>0</v>
      </c>
      <c r="P219" s="43" t="str">
        <f>IF(O219,swap_curve!$B$19,"")</f>
        <v/>
      </c>
      <c r="Q219" t="str">
        <f t="shared" si="19"/>
        <v/>
      </c>
      <c r="R219" t="str" cm="1">
        <f t="array" ref="R219">IF(O219,BSCall(swap_curve!$B$20,imvol!M219,imvol!P219,imvol!Q219,YEARFRAC(swap_curve!$C$1,imvol!N219)),"")</f>
        <v/>
      </c>
      <c r="S219" s="20" t="str">
        <f t="shared" si="15"/>
        <v/>
      </c>
    </row>
    <row r="220" spans="1:19" x14ac:dyDescent="0.3">
      <c r="A220" s="23" t="s">
        <v>912</v>
      </c>
      <c r="B220" s="23" t="s">
        <v>913</v>
      </c>
      <c r="C220" s="24">
        <v>0.05</v>
      </c>
      <c r="D220" s="24">
        <v>-0.01</v>
      </c>
      <c r="E220" s="24">
        <v>0.06</v>
      </c>
      <c r="F220" s="24">
        <v>0.06</v>
      </c>
      <c r="G220" s="24">
        <v>0.05</v>
      </c>
      <c r="H220" s="24">
        <v>17.8</v>
      </c>
      <c r="I220" s="24">
        <v>0.05</v>
      </c>
      <c r="J220" s="25">
        <v>7</v>
      </c>
      <c r="K220" s="25">
        <v>0</v>
      </c>
      <c r="L220" s="25">
        <v>591</v>
      </c>
      <c r="M220" s="18">
        <f t="shared" si="17"/>
        <v>427.5</v>
      </c>
      <c r="N220" s="19">
        <f t="shared" si="18"/>
        <v>45456</v>
      </c>
      <c r="O220" s="18" t="b">
        <f t="shared" si="16"/>
        <v>0</v>
      </c>
      <c r="P220" s="43" t="str">
        <f>IF(O220,swap_curve!$B$19,"")</f>
        <v/>
      </c>
      <c r="Q220" t="str">
        <f t="shared" si="19"/>
        <v/>
      </c>
      <c r="R220" t="str" cm="1">
        <f t="array" ref="R220">IF(O220,BSCall(swap_curve!$B$20,imvol!M220,imvol!P220,imvol!Q220,YEARFRAC(swap_curve!$C$1,imvol!N220)),"")</f>
        <v/>
      </c>
      <c r="S220" s="20" t="str">
        <f t="shared" si="15"/>
        <v/>
      </c>
    </row>
    <row r="221" spans="1:19" x14ac:dyDescent="0.3">
      <c r="A221" s="23" t="s">
        <v>240</v>
      </c>
      <c r="B221" s="23" t="s">
        <v>241</v>
      </c>
      <c r="C221" s="24">
        <v>0.04</v>
      </c>
      <c r="D221" s="24">
        <v>0</v>
      </c>
      <c r="E221" s="24">
        <v>0.05</v>
      </c>
      <c r="F221" s="24">
        <v>0.05</v>
      </c>
      <c r="G221" s="24">
        <v>0.04</v>
      </c>
      <c r="H221" s="24">
        <v>17.8</v>
      </c>
      <c r="I221" s="24">
        <v>0.04</v>
      </c>
      <c r="J221" s="25">
        <v>40</v>
      </c>
      <c r="K221" s="25">
        <v>0</v>
      </c>
      <c r="L221" s="25">
        <v>2928</v>
      </c>
      <c r="M221" s="18">
        <f t="shared" si="17"/>
        <v>430</v>
      </c>
      <c r="N221" s="19">
        <f t="shared" si="18"/>
        <v>45456</v>
      </c>
      <c r="O221" s="18" t="b">
        <f t="shared" si="16"/>
        <v>0</v>
      </c>
      <c r="P221" s="43" t="str">
        <f>IF(O221,swap_curve!$B$19,"")</f>
        <v/>
      </c>
      <c r="Q221" t="str">
        <f t="shared" si="19"/>
        <v/>
      </c>
      <c r="R221" t="str" cm="1">
        <f t="array" ref="R221">IF(O221,BSCall(swap_curve!$B$20,imvol!M221,imvol!P221,imvol!Q221,YEARFRAC(swap_curve!$C$1,imvol!N221)),"")</f>
        <v/>
      </c>
      <c r="S221" s="20" t="str">
        <f t="shared" si="15"/>
        <v/>
      </c>
    </row>
    <row r="222" spans="1:19" x14ac:dyDescent="0.3">
      <c r="A222" s="23" t="s">
        <v>914</v>
      </c>
      <c r="B222" s="23" t="s">
        <v>915</v>
      </c>
      <c r="C222" s="24">
        <v>0.04</v>
      </c>
      <c r="D222" s="24">
        <v>0</v>
      </c>
      <c r="E222" s="24">
        <v>0.04</v>
      </c>
      <c r="F222" s="24">
        <v>0.04</v>
      </c>
      <c r="G222" s="24">
        <v>0.04</v>
      </c>
      <c r="H222" s="24">
        <v>18.600000000000001</v>
      </c>
      <c r="I222" s="24">
        <v>0.04</v>
      </c>
      <c r="J222" s="25">
        <v>95</v>
      </c>
      <c r="K222" s="25">
        <v>1</v>
      </c>
      <c r="L222" s="25">
        <v>540</v>
      </c>
      <c r="M222" s="21">
        <f t="shared" si="17"/>
        <v>432.5</v>
      </c>
      <c r="N222" s="22">
        <f t="shared" si="18"/>
        <v>45456</v>
      </c>
      <c r="O222" s="21" t="b">
        <f t="shared" si="16"/>
        <v>0</v>
      </c>
      <c r="P222" s="43" t="str">
        <f>IF(O222,swap_curve!$B$19,"")</f>
        <v/>
      </c>
      <c r="Q222" t="str">
        <f t="shared" si="19"/>
        <v/>
      </c>
      <c r="R222" t="str" cm="1">
        <f t="array" ref="R222">IF(O222,BSCall(swap_curve!$B$20,imvol!M222,imvol!P222,imvol!Q222,YEARFRAC(swap_curve!$C$1,imvol!N222)),"")</f>
        <v/>
      </c>
      <c r="S222" s="20" t="str">
        <f t="shared" si="15"/>
        <v/>
      </c>
    </row>
    <row r="223" spans="1:19" x14ac:dyDescent="0.3">
      <c r="A223" s="23" t="s">
        <v>242</v>
      </c>
      <c r="B223" s="23" t="s">
        <v>243</v>
      </c>
      <c r="C223" s="24">
        <v>0.03</v>
      </c>
      <c r="D223" s="24">
        <v>-0.01</v>
      </c>
      <c r="E223" s="24">
        <v>0.04</v>
      </c>
      <c r="F223" s="24">
        <v>0.04</v>
      </c>
      <c r="G223" s="24">
        <v>0.03</v>
      </c>
      <c r="H223" s="24">
        <v>18.7</v>
      </c>
      <c r="I223" s="24">
        <v>0.03</v>
      </c>
      <c r="J223" s="25">
        <v>2</v>
      </c>
      <c r="K223" s="25">
        <v>0</v>
      </c>
      <c r="L223" s="25">
        <v>963</v>
      </c>
      <c r="M223" s="18">
        <f t="shared" si="17"/>
        <v>435</v>
      </c>
      <c r="N223" s="19">
        <f t="shared" si="18"/>
        <v>45456</v>
      </c>
      <c r="O223" s="18" t="b">
        <f t="shared" si="16"/>
        <v>0</v>
      </c>
      <c r="P223" s="43" t="str">
        <f>IF(O223,swap_curve!$B$19,"")</f>
        <v/>
      </c>
      <c r="Q223" t="str">
        <f t="shared" si="19"/>
        <v/>
      </c>
      <c r="R223" t="str" cm="1">
        <f t="array" ref="R223">IF(O223,BSCall(swap_curve!$B$20,imvol!M223,imvol!P223,imvol!Q223,YEARFRAC(swap_curve!$C$1,imvol!N223)),"")</f>
        <v/>
      </c>
      <c r="S223" s="20" t="str">
        <f t="shared" si="15"/>
        <v/>
      </c>
    </row>
    <row r="224" spans="1:19" x14ac:dyDescent="0.3">
      <c r="A224" s="23" t="s">
        <v>916</v>
      </c>
      <c r="B224" s="23" t="s">
        <v>917</v>
      </c>
      <c r="C224" s="24">
        <v>0.02</v>
      </c>
      <c r="D224" s="24">
        <v>-0.01</v>
      </c>
      <c r="E224" s="24">
        <v>0.03</v>
      </c>
      <c r="F224" s="24">
        <v>0.03</v>
      </c>
      <c r="G224" s="24">
        <v>0.02</v>
      </c>
      <c r="H224" s="24">
        <v>18.2</v>
      </c>
      <c r="I224" s="24">
        <v>0.02</v>
      </c>
      <c r="J224" s="25">
        <v>34</v>
      </c>
      <c r="K224" s="25">
        <v>0</v>
      </c>
      <c r="L224" s="25">
        <v>1042</v>
      </c>
      <c r="M224" s="18">
        <f t="shared" si="17"/>
        <v>437.5</v>
      </c>
      <c r="N224" s="19">
        <f t="shared" si="18"/>
        <v>45456</v>
      </c>
      <c r="O224" s="18" t="b">
        <f t="shared" si="16"/>
        <v>0</v>
      </c>
      <c r="P224" s="43" t="str">
        <f>IF(O224,swap_curve!$B$19,"")</f>
        <v/>
      </c>
      <c r="Q224" t="str">
        <f t="shared" si="19"/>
        <v/>
      </c>
      <c r="R224" t="str" cm="1">
        <f t="array" ref="R224">IF(O224,BSCall(swap_curve!$B$20,imvol!M224,imvol!P224,imvol!Q224,YEARFRAC(swap_curve!$C$1,imvol!N224)),"")</f>
        <v/>
      </c>
      <c r="S224" s="20" t="str">
        <f t="shared" si="15"/>
        <v/>
      </c>
    </row>
    <row r="225" spans="1:19" x14ac:dyDescent="0.3">
      <c r="A225" s="23" t="s">
        <v>244</v>
      </c>
      <c r="B225" s="23" t="s">
        <v>245</v>
      </c>
      <c r="C225" s="24">
        <v>0.03</v>
      </c>
      <c r="D225" s="24">
        <v>0.01</v>
      </c>
      <c r="E225" s="24">
        <v>0.03</v>
      </c>
      <c r="F225" s="24">
        <v>0.03</v>
      </c>
      <c r="G225" s="24">
        <v>0.03</v>
      </c>
      <c r="H225" s="24">
        <v>19.7</v>
      </c>
      <c r="I225" s="24">
        <v>0.03</v>
      </c>
      <c r="J225" s="25">
        <v>2</v>
      </c>
      <c r="K225" s="25">
        <v>0</v>
      </c>
      <c r="L225" s="25">
        <v>1105</v>
      </c>
      <c r="M225" s="18">
        <f t="shared" si="17"/>
        <v>440</v>
      </c>
      <c r="N225" s="19">
        <f t="shared" si="18"/>
        <v>45456</v>
      </c>
      <c r="O225" s="18" t="b">
        <f t="shared" si="16"/>
        <v>0</v>
      </c>
      <c r="P225" s="43" t="str">
        <f>IF(O225,swap_curve!$B$19,"")</f>
        <v/>
      </c>
      <c r="Q225" t="str">
        <f t="shared" si="19"/>
        <v/>
      </c>
      <c r="R225" t="str" cm="1">
        <f t="array" ref="R225">IF(O225,BSCall(swap_curve!$B$20,imvol!M225,imvol!P225,imvol!Q225,YEARFRAC(swap_curve!$C$1,imvol!N225)),"")</f>
        <v/>
      </c>
      <c r="S225" s="20" t="str">
        <f t="shared" si="15"/>
        <v/>
      </c>
    </row>
    <row r="226" spans="1:19" x14ac:dyDescent="0.3">
      <c r="A226" s="23" t="s">
        <v>918</v>
      </c>
      <c r="B226" s="23" t="s">
        <v>919</v>
      </c>
      <c r="C226" s="24">
        <v>0.01</v>
      </c>
      <c r="D226" s="24">
        <v>-0.01</v>
      </c>
      <c r="E226" s="24">
        <v>0.02</v>
      </c>
      <c r="F226" s="24">
        <v>0.02</v>
      </c>
      <c r="G226" s="24">
        <v>0.01</v>
      </c>
      <c r="H226" s="24">
        <v>18.2</v>
      </c>
      <c r="I226" s="24">
        <v>0.01</v>
      </c>
      <c r="J226" s="25">
        <v>62</v>
      </c>
      <c r="K226" s="25">
        <v>0</v>
      </c>
      <c r="L226" s="25">
        <v>745</v>
      </c>
      <c r="M226" s="18">
        <f t="shared" si="17"/>
        <v>442.5</v>
      </c>
      <c r="N226" s="19">
        <f t="shared" si="18"/>
        <v>45456</v>
      </c>
      <c r="O226" s="18" t="b">
        <f t="shared" si="16"/>
        <v>0</v>
      </c>
      <c r="P226" s="43" t="str">
        <f>IF(O226,swap_curve!$B$19,"")</f>
        <v/>
      </c>
      <c r="Q226" t="str">
        <f t="shared" si="19"/>
        <v/>
      </c>
      <c r="R226" t="str" cm="1">
        <f t="array" ref="R226">IF(O226,BSCall(swap_curve!$B$20,imvol!M226,imvol!P226,imvol!Q226,YEARFRAC(swap_curve!$C$1,imvol!N226)),"")</f>
        <v/>
      </c>
      <c r="S226" s="20" t="str">
        <f t="shared" si="15"/>
        <v/>
      </c>
    </row>
    <row r="227" spans="1:19" x14ac:dyDescent="0.3">
      <c r="A227" s="23" t="s">
        <v>246</v>
      </c>
      <c r="B227" s="23" t="s">
        <v>247</v>
      </c>
      <c r="C227" s="24">
        <v>0.02</v>
      </c>
      <c r="D227" s="24">
        <v>0</v>
      </c>
      <c r="E227" s="24">
        <v>0.02</v>
      </c>
      <c r="F227" s="24">
        <v>0.02</v>
      </c>
      <c r="G227" s="24">
        <v>0.02</v>
      </c>
      <c r="H227" s="24">
        <v>19.8</v>
      </c>
      <c r="I227" s="24">
        <v>0.02</v>
      </c>
      <c r="J227" s="25">
        <v>1</v>
      </c>
      <c r="K227" s="25">
        <v>0</v>
      </c>
      <c r="L227" s="25">
        <v>561</v>
      </c>
      <c r="M227" s="18">
        <f t="shared" si="17"/>
        <v>445</v>
      </c>
      <c r="N227" s="19">
        <f t="shared" si="18"/>
        <v>45456</v>
      </c>
      <c r="O227" s="18" t="b">
        <f t="shared" si="16"/>
        <v>0</v>
      </c>
      <c r="P227" s="43" t="str">
        <f>IF(O227,swap_curve!$B$19,"")</f>
        <v/>
      </c>
      <c r="Q227" t="str">
        <f t="shared" si="19"/>
        <v/>
      </c>
      <c r="R227" t="str" cm="1">
        <f t="array" ref="R227">IF(O227,BSCall(swap_curve!$B$20,imvol!M227,imvol!P227,imvol!Q227,YEARFRAC(swap_curve!$C$1,imvol!N227)),"")</f>
        <v/>
      </c>
      <c r="S227" s="20" t="str">
        <f t="shared" si="15"/>
        <v/>
      </c>
    </row>
    <row r="228" spans="1:19" x14ac:dyDescent="0.3">
      <c r="A228" s="23" t="s">
        <v>920</v>
      </c>
      <c r="B228" s="23" t="s">
        <v>921</v>
      </c>
      <c r="C228" s="24" t="s">
        <v>23</v>
      </c>
      <c r="D228" s="24" t="s">
        <v>23</v>
      </c>
      <c r="E228" s="24" t="s">
        <v>23</v>
      </c>
      <c r="F228" s="24" t="s">
        <v>23</v>
      </c>
      <c r="G228" s="24" t="s">
        <v>23</v>
      </c>
      <c r="H228" s="24">
        <v>20.45</v>
      </c>
      <c r="I228" s="24">
        <v>0.02</v>
      </c>
      <c r="J228" s="25">
        <v>0</v>
      </c>
      <c r="K228" s="25">
        <v>0</v>
      </c>
      <c r="L228" s="25">
        <v>89</v>
      </c>
      <c r="M228" s="18">
        <f t="shared" si="17"/>
        <v>447.5</v>
      </c>
      <c r="N228" s="19">
        <f t="shared" si="18"/>
        <v>45456</v>
      </c>
      <c r="O228" s="18" t="b">
        <f t="shared" si="16"/>
        <v>0</v>
      </c>
      <c r="P228" s="43" t="str">
        <f>IF(O228,swap_curve!$B$19,"")</f>
        <v/>
      </c>
      <c r="Q228" t="str">
        <f t="shared" si="19"/>
        <v/>
      </c>
      <c r="R228" t="str" cm="1">
        <f t="array" ref="R228">IF(O228,BSCall(swap_curve!$B$20,imvol!M228,imvol!P228,imvol!Q228,YEARFRAC(swap_curve!$C$1,imvol!N228)),"")</f>
        <v/>
      </c>
      <c r="S228" s="20" t="str">
        <f t="shared" si="15"/>
        <v/>
      </c>
    </row>
    <row r="229" spans="1:19" x14ac:dyDescent="0.3">
      <c r="A229" s="23" t="s">
        <v>248</v>
      </c>
      <c r="B229" s="23" t="s">
        <v>249</v>
      </c>
      <c r="C229" s="24">
        <v>0.02</v>
      </c>
      <c r="D229" s="24">
        <v>0.01</v>
      </c>
      <c r="E229" s="24">
        <v>0.02</v>
      </c>
      <c r="F229" s="24">
        <v>0.02</v>
      </c>
      <c r="G229" s="24">
        <v>0.02</v>
      </c>
      <c r="H229" s="24">
        <v>21.1</v>
      </c>
      <c r="I229" s="24">
        <v>0.02</v>
      </c>
      <c r="J229" s="25">
        <v>2</v>
      </c>
      <c r="K229" s="25">
        <v>0</v>
      </c>
      <c r="L229" s="25">
        <v>1435</v>
      </c>
      <c r="M229" s="18">
        <f t="shared" si="17"/>
        <v>450</v>
      </c>
      <c r="N229" s="19">
        <f t="shared" si="18"/>
        <v>45456</v>
      </c>
      <c r="O229" s="18" t="b">
        <f t="shared" si="16"/>
        <v>0</v>
      </c>
      <c r="P229" s="43" t="str">
        <f>IF(O229,swap_curve!$B$19,"")</f>
        <v/>
      </c>
      <c r="Q229" t="str">
        <f t="shared" si="19"/>
        <v/>
      </c>
      <c r="R229" t="str" cm="1">
        <f t="array" ref="R229">IF(O229,BSCall(swap_curve!$B$20,imvol!M229,imvol!P229,imvol!Q229,YEARFRAC(swap_curve!$C$1,imvol!N229)),"")</f>
        <v/>
      </c>
      <c r="S229" s="20" t="str">
        <f t="shared" si="15"/>
        <v/>
      </c>
    </row>
    <row r="230" spans="1:19" x14ac:dyDescent="0.3">
      <c r="A230" s="23" t="s">
        <v>922</v>
      </c>
      <c r="B230" s="23" t="s">
        <v>923</v>
      </c>
      <c r="C230" s="24">
        <v>0.01</v>
      </c>
      <c r="D230" s="24">
        <v>0</v>
      </c>
      <c r="E230" s="24">
        <v>0.01</v>
      </c>
      <c r="F230" s="24">
        <v>0.01</v>
      </c>
      <c r="G230" s="24">
        <v>0.01</v>
      </c>
      <c r="H230" s="24">
        <v>20.2</v>
      </c>
      <c r="I230" s="24">
        <v>0.01</v>
      </c>
      <c r="J230" s="25">
        <v>3</v>
      </c>
      <c r="K230" s="25">
        <v>0</v>
      </c>
      <c r="L230" s="25">
        <v>34</v>
      </c>
      <c r="M230" s="18">
        <f t="shared" si="17"/>
        <v>452.5</v>
      </c>
      <c r="N230" s="19">
        <f t="shared" si="18"/>
        <v>45456</v>
      </c>
      <c r="O230" s="18" t="b">
        <f t="shared" si="16"/>
        <v>0</v>
      </c>
      <c r="P230" s="43" t="str">
        <f>IF(O230,swap_curve!$B$19,"")</f>
        <v/>
      </c>
      <c r="Q230" t="str">
        <f t="shared" si="19"/>
        <v/>
      </c>
      <c r="R230" t="str" cm="1">
        <f t="array" ref="R230">IF(O230,BSCall(swap_curve!$B$20,imvol!M230,imvol!P230,imvol!Q230,YEARFRAC(swap_curve!$C$1,imvol!N230)),"")</f>
        <v/>
      </c>
      <c r="S230" s="20" t="str">
        <f t="shared" si="15"/>
        <v/>
      </c>
    </row>
    <row r="231" spans="1:19" x14ac:dyDescent="0.3">
      <c r="A231" s="23" t="s">
        <v>250</v>
      </c>
      <c r="B231" s="23" t="s">
        <v>251</v>
      </c>
      <c r="C231" s="24">
        <v>0.01</v>
      </c>
      <c r="D231" s="24">
        <v>-0.01</v>
      </c>
      <c r="E231" s="24">
        <v>0.01</v>
      </c>
      <c r="F231" s="24">
        <v>0.01</v>
      </c>
      <c r="G231" s="24">
        <v>0.01</v>
      </c>
      <c r="H231" s="24">
        <v>20.8</v>
      </c>
      <c r="I231" s="24">
        <v>0.01</v>
      </c>
      <c r="J231" s="25">
        <v>8</v>
      </c>
      <c r="K231" s="25">
        <v>0</v>
      </c>
      <c r="L231" s="25">
        <v>1587</v>
      </c>
      <c r="M231" s="18">
        <f t="shared" si="17"/>
        <v>455</v>
      </c>
      <c r="N231" s="19">
        <f t="shared" si="18"/>
        <v>45456</v>
      </c>
      <c r="O231" s="18" t="b">
        <f t="shared" si="16"/>
        <v>0</v>
      </c>
      <c r="P231" s="43" t="str">
        <f>IF(O231,swap_curve!$B$19,"")</f>
        <v/>
      </c>
      <c r="Q231" t="str">
        <f t="shared" si="19"/>
        <v/>
      </c>
      <c r="R231" t="str" cm="1">
        <f t="array" ref="R231">IF(O231,BSCall(swap_curve!$B$20,imvol!M231,imvol!P231,imvol!Q231,YEARFRAC(swap_curve!$C$1,imvol!N231)),"")</f>
        <v/>
      </c>
      <c r="S231" s="20" t="str">
        <f t="shared" si="15"/>
        <v/>
      </c>
    </row>
    <row r="232" spans="1:19" x14ac:dyDescent="0.3">
      <c r="A232" s="23" t="s">
        <v>924</v>
      </c>
      <c r="B232" s="23" t="s">
        <v>925</v>
      </c>
      <c r="C232" s="24">
        <v>0.01</v>
      </c>
      <c r="D232" s="24">
        <v>0</v>
      </c>
      <c r="E232" s="24">
        <v>0.01</v>
      </c>
      <c r="F232" s="24">
        <v>0.01</v>
      </c>
      <c r="G232" s="24">
        <v>0.01</v>
      </c>
      <c r="H232" s="24">
        <v>21.2</v>
      </c>
      <c r="I232" s="24">
        <v>0.01</v>
      </c>
      <c r="J232" s="25">
        <v>2</v>
      </c>
      <c r="K232" s="25">
        <v>0</v>
      </c>
      <c r="L232" s="25">
        <v>195</v>
      </c>
      <c r="M232" s="18">
        <f t="shared" si="17"/>
        <v>457.5</v>
      </c>
      <c r="N232" s="19">
        <f t="shared" si="18"/>
        <v>45456</v>
      </c>
      <c r="O232" s="18" t="b">
        <f t="shared" si="16"/>
        <v>0</v>
      </c>
      <c r="P232" s="43" t="str">
        <f>IF(O232,swap_curve!$B$19,"")</f>
        <v/>
      </c>
      <c r="Q232" t="str">
        <f t="shared" si="19"/>
        <v/>
      </c>
      <c r="R232" t="str" cm="1">
        <f t="array" ref="R232">IF(O232,BSCall(swap_curve!$B$20,imvol!M232,imvol!P232,imvol!Q232,YEARFRAC(swap_curve!$C$1,imvol!N232)),"")</f>
        <v/>
      </c>
      <c r="S232" s="20" t="str">
        <f t="shared" si="15"/>
        <v/>
      </c>
    </row>
    <row r="233" spans="1:19" x14ac:dyDescent="0.3">
      <c r="A233" s="23" t="s">
        <v>252</v>
      </c>
      <c r="B233" s="23" t="s">
        <v>253</v>
      </c>
      <c r="C233" s="24">
        <v>0.01</v>
      </c>
      <c r="D233" s="24">
        <v>0</v>
      </c>
      <c r="E233" s="24">
        <v>0.01</v>
      </c>
      <c r="F233" s="24">
        <v>0.01</v>
      </c>
      <c r="G233" s="24">
        <v>0.01</v>
      </c>
      <c r="H233" s="24">
        <v>21.6</v>
      </c>
      <c r="I233" s="24">
        <v>0.01</v>
      </c>
      <c r="J233" s="25">
        <v>4</v>
      </c>
      <c r="K233" s="25">
        <v>0</v>
      </c>
      <c r="L233" s="25">
        <v>446</v>
      </c>
      <c r="M233" s="18">
        <f t="shared" si="17"/>
        <v>460</v>
      </c>
      <c r="N233" s="19">
        <f t="shared" si="18"/>
        <v>45456</v>
      </c>
      <c r="O233" s="18" t="b">
        <f t="shared" si="16"/>
        <v>0</v>
      </c>
      <c r="P233" s="43" t="str">
        <f>IF(O233,swap_curve!$B$19,"")</f>
        <v/>
      </c>
      <c r="Q233" t="str">
        <f t="shared" si="19"/>
        <v/>
      </c>
      <c r="R233" t="str" cm="1">
        <f t="array" ref="R233">IF(O233,BSCall(swap_curve!$B$20,imvol!M233,imvol!P233,imvol!Q233,YEARFRAC(swap_curve!$C$1,imvol!N233)),"")</f>
        <v/>
      </c>
      <c r="S233" s="20" t="str">
        <f t="shared" si="15"/>
        <v/>
      </c>
    </row>
    <row r="234" spans="1:19" x14ac:dyDescent="0.3">
      <c r="A234" s="23" t="s">
        <v>926</v>
      </c>
      <c r="B234" s="23" t="s">
        <v>927</v>
      </c>
      <c r="C234" s="24" t="s">
        <v>23</v>
      </c>
      <c r="D234" s="24" t="s">
        <v>23</v>
      </c>
      <c r="E234" s="24" t="s">
        <v>23</v>
      </c>
      <c r="F234" s="24" t="s">
        <v>23</v>
      </c>
      <c r="G234" s="24" t="s">
        <v>23</v>
      </c>
      <c r="H234" s="24">
        <v>22.63</v>
      </c>
      <c r="I234" s="24">
        <v>0.01</v>
      </c>
      <c r="J234" s="25">
        <v>0</v>
      </c>
      <c r="K234" s="25">
        <v>0</v>
      </c>
      <c r="L234" s="25">
        <v>144</v>
      </c>
      <c r="M234" s="18">
        <f t="shared" si="17"/>
        <v>462.5</v>
      </c>
      <c r="N234" s="19">
        <f t="shared" si="18"/>
        <v>45456</v>
      </c>
      <c r="O234" s="18" t="b">
        <f t="shared" si="16"/>
        <v>0</v>
      </c>
      <c r="P234" s="43" t="str">
        <f>IF(O234,swap_curve!$B$19,"")</f>
        <v/>
      </c>
      <c r="Q234" t="str">
        <f t="shared" si="19"/>
        <v/>
      </c>
      <c r="R234" t="str" cm="1">
        <f t="array" ref="R234">IF(O234,BSCall(swap_curve!$B$20,imvol!M234,imvol!P234,imvol!Q234,YEARFRAC(swap_curve!$C$1,imvol!N234)),"")</f>
        <v/>
      </c>
      <c r="S234" s="20" t="str">
        <f t="shared" si="15"/>
        <v/>
      </c>
    </row>
    <row r="235" spans="1:19" x14ac:dyDescent="0.3">
      <c r="A235" s="23" t="s">
        <v>254</v>
      </c>
      <c r="B235" s="23" t="s">
        <v>255</v>
      </c>
      <c r="C235" s="24" t="s">
        <v>23</v>
      </c>
      <c r="D235" s="24" t="s">
        <v>23</v>
      </c>
      <c r="E235" s="24" t="s">
        <v>23</v>
      </c>
      <c r="F235" s="24" t="s">
        <v>23</v>
      </c>
      <c r="G235" s="24" t="s">
        <v>23</v>
      </c>
      <c r="H235" s="24">
        <v>23.66</v>
      </c>
      <c r="I235" s="24">
        <v>0.02</v>
      </c>
      <c r="J235" s="25">
        <v>0</v>
      </c>
      <c r="K235" s="25">
        <v>0</v>
      </c>
      <c r="L235" s="25">
        <v>219</v>
      </c>
      <c r="M235" s="18">
        <f t="shared" si="17"/>
        <v>465</v>
      </c>
      <c r="N235" s="19">
        <f t="shared" si="18"/>
        <v>45456</v>
      </c>
      <c r="O235" s="18" t="b">
        <f t="shared" si="16"/>
        <v>0</v>
      </c>
      <c r="P235" s="43" t="str">
        <f>IF(O235,swap_curve!$B$19,"")</f>
        <v/>
      </c>
      <c r="Q235" t="str">
        <f t="shared" si="19"/>
        <v/>
      </c>
      <c r="R235" t="str" cm="1">
        <f t="array" ref="R235">IF(O235,BSCall(swap_curve!$B$20,imvol!M235,imvol!P235,imvol!Q235,YEARFRAC(swap_curve!$C$1,imvol!N235)),"")</f>
        <v/>
      </c>
      <c r="S235" s="20" t="str">
        <f t="shared" si="15"/>
        <v/>
      </c>
    </row>
    <row r="236" spans="1:19" x14ac:dyDescent="0.3">
      <c r="A236" s="23" t="s">
        <v>928</v>
      </c>
      <c r="B236" s="23" t="s">
        <v>929</v>
      </c>
      <c r="C236" s="24">
        <v>0.02</v>
      </c>
      <c r="D236" s="24">
        <v>0.01</v>
      </c>
      <c r="E236" s="24">
        <v>0.02</v>
      </c>
      <c r="F236" s="24">
        <v>0.02</v>
      </c>
      <c r="G236" s="24">
        <v>0.02</v>
      </c>
      <c r="H236" s="24">
        <v>24.7</v>
      </c>
      <c r="I236" s="24">
        <v>0.02</v>
      </c>
      <c r="J236" s="25">
        <v>1</v>
      </c>
      <c r="K236" s="25">
        <v>0</v>
      </c>
      <c r="L236" s="25">
        <v>53</v>
      </c>
      <c r="M236" s="18">
        <f t="shared" si="17"/>
        <v>467.5</v>
      </c>
      <c r="N236" s="19">
        <f t="shared" si="18"/>
        <v>45456</v>
      </c>
      <c r="O236" s="18" t="b">
        <f t="shared" si="16"/>
        <v>0</v>
      </c>
      <c r="P236" s="43" t="str">
        <f>IF(O236,swap_curve!$B$19,"")</f>
        <v/>
      </c>
      <c r="Q236" t="str">
        <f t="shared" si="19"/>
        <v/>
      </c>
      <c r="R236" t="str" cm="1">
        <f t="array" ref="R236">IF(O236,BSCall(swap_curve!$B$20,imvol!M236,imvol!P236,imvol!Q236,YEARFRAC(swap_curve!$C$1,imvol!N236)),"")</f>
        <v/>
      </c>
      <c r="S236" s="20" t="str">
        <f t="shared" si="15"/>
        <v/>
      </c>
    </row>
    <row r="237" spans="1:19" x14ac:dyDescent="0.3">
      <c r="A237" s="23" t="s">
        <v>256</v>
      </c>
      <c r="B237" s="23" t="s">
        <v>257</v>
      </c>
      <c r="C237" s="24" t="s">
        <v>23</v>
      </c>
      <c r="D237" s="24" t="s">
        <v>23</v>
      </c>
      <c r="E237" s="24" t="s">
        <v>23</v>
      </c>
      <c r="F237" s="24" t="s">
        <v>23</v>
      </c>
      <c r="G237" s="24" t="s">
        <v>23</v>
      </c>
      <c r="H237" s="24">
        <v>24.63</v>
      </c>
      <c r="I237" s="24">
        <v>0.02</v>
      </c>
      <c r="J237" s="25">
        <v>0</v>
      </c>
      <c r="K237" s="25">
        <v>0</v>
      </c>
      <c r="L237" s="25">
        <v>1533</v>
      </c>
      <c r="M237" s="18">
        <f t="shared" si="17"/>
        <v>470</v>
      </c>
      <c r="N237" s="19">
        <f t="shared" si="18"/>
        <v>45456</v>
      </c>
      <c r="O237" s="18" t="b">
        <f t="shared" si="16"/>
        <v>0</v>
      </c>
      <c r="P237" s="43" t="str">
        <f>IF(O237,swap_curve!$B$19,"")</f>
        <v/>
      </c>
      <c r="Q237" t="str">
        <f t="shared" si="19"/>
        <v/>
      </c>
      <c r="R237" t="str" cm="1">
        <f t="array" ref="R237">IF(O237,BSCall(swap_curve!$B$20,imvol!M237,imvol!P237,imvol!Q237,YEARFRAC(swap_curve!$C$1,imvol!N237)),"")</f>
        <v/>
      </c>
      <c r="S237" s="20" t="str">
        <f t="shared" si="15"/>
        <v/>
      </c>
    </row>
    <row r="238" spans="1:19" x14ac:dyDescent="0.3">
      <c r="A238" s="23" t="s">
        <v>930</v>
      </c>
      <c r="B238" s="23" t="s">
        <v>931</v>
      </c>
      <c r="C238" s="24" t="s">
        <v>23</v>
      </c>
      <c r="D238" s="24" t="s">
        <v>23</v>
      </c>
      <c r="E238" s="24" t="s">
        <v>23</v>
      </c>
      <c r="F238" s="24" t="s">
        <v>23</v>
      </c>
      <c r="G238" s="24" t="s">
        <v>23</v>
      </c>
      <c r="H238" s="24">
        <v>24.56</v>
      </c>
      <c r="I238" s="24">
        <v>0.01</v>
      </c>
      <c r="J238" s="25">
        <v>0</v>
      </c>
      <c r="K238" s="25">
        <v>0</v>
      </c>
      <c r="L238" s="25">
        <v>52</v>
      </c>
      <c r="M238" s="18">
        <f t="shared" si="17"/>
        <v>472.5</v>
      </c>
      <c r="N238" s="19">
        <f t="shared" si="18"/>
        <v>45456</v>
      </c>
      <c r="O238" s="18" t="b">
        <f t="shared" si="16"/>
        <v>0</v>
      </c>
      <c r="P238" s="43" t="str">
        <f>IF(O238,swap_curve!$B$19,"")</f>
        <v/>
      </c>
      <c r="Q238" t="str">
        <f t="shared" si="19"/>
        <v/>
      </c>
      <c r="R238" t="str" cm="1">
        <f t="array" ref="R238">IF(O238,BSCall(swap_curve!$B$20,imvol!M238,imvol!P238,imvol!Q238,YEARFRAC(swap_curve!$C$1,imvol!N238)),"")</f>
        <v/>
      </c>
      <c r="S238" s="20" t="str">
        <f t="shared" si="15"/>
        <v/>
      </c>
    </row>
    <row r="239" spans="1:19" x14ac:dyDescent="0.3">
      <c r="A239" s="23" t="s">
        <v>932</v>
      </c>
      <c r="B239" s="23" t="s">
        <v>933</v>
      </c>
      <c r="C239" s="24">
        <v>0.01</v>
      </c>
      <c r="D239" s="24">
        <v>0</v>
      </c>
      <c r="E239" s="24">
        <v>0.01</v>
      </c>
      <c r="F239" s="24">
        <v>0.01</v>
      </c>
      <c r="G239" s="24">
        <v>0.01</v>
      </c>
      <c r="H239" s="24">
        <v>24.5</v>
      </c>
      <c r="I239" s="24">
        <v>0.01</v>
      </c>
      <c r="J239" s="25">
        <v>1</v>
      </c>
      <c r="K239" s="25">
        <v>0</v>
      </c>
      <c r="L239" s="25">
        <v>52</v>
      </c>
      <c r="M239" s="18">
        <f t="shared" si="17"/>
        <v>475</v>
      </c>
      <c r="N239" s="19">
        <f t="shared" si="18"/>
        <v>45456</v>
      </c>
      <c r="O239" s="18" t="b">
        <f t="shared" si="16"/>
        <v>0</v>
      </c>
      <c r="P239" s="43" t="str">
        <f>IF(O239,swap_curve!$B$19,"")</f>
        <v/>
      </c>
      <c r="Q239" t="str">
        <f t="shared" si="19"/>
        <v/>
      </c>
      <c r="R239" t="str" cm="1">
        <f t="array" ref="R239">IF(O239,BSCall(swap_curve!$B$20,imvol!M239,imvol!P239,imvol!Q239,YEARFRAC(swap_curve!$C$1,imvol!N239)),"")</f>
        <v/>
      </c>
      <c r="S239" s="20" t="str">
        <f t="shared" si="15"/>
        <v/>
      </c>
    </row>
    <row r="240" spans="1:19" x14ac:dyDescent="0.3">
      <c r="A240" s="23" t="s">
        <v>934</v>
      </c>
      <c r="B240" s="23" t="s">
        <v>935</v>
      </c>
      <c r="C240" s="24" t="s">
        <v>23</v>
      </c>
      <c r="D240" s="24" t="s">
        <v>23</v>
      </c>
      <c r="E240" s="24" t="s">
        <v>23</v>
      </c>
      <c r="F240" s="24" t="s">
        <v>23</v>
      </c>
      <c r="G240" s="24" t="s">
        <v>23</v>
      </c>
      <c r="H240" s="24">
        <v>24.8</v>
      </c>
      <c r="I240" s="24">
        <v>0.01</v>
      </c>
      <c r="J240" s="25">
        <v>0</v>
      </c>
      <c r="K240" s="25">
        <v>0</v>
      </c>
      <c r="L240" s="25">
        <v>16</v>
      </c>
      <c r="M240" s="18">
        <f t="shared" si="17"/>
        <v>477.5</v>
      </c>
      <c r="N240" s="19">
        <f t="shared" si="18"/>
        <v>45456</v>
      </c>
      <c r="O240" s="18" t="b">
        <f t="shared" si="16"/>
        <v>0</v>
      </c>
      <c r="P240" s="43" t="str">
        <f>IF(O240,swap_curve!$B$19,"")</f>
        <v/>
      </c>
      <c r="Q240" t="str">
        <f t="shared" si="19"/>
        <v/>
      </c>
      <c r="R240" t="str" cm="1">
        <f t="array" ref="R240">IF(O240,BSCall(swap_curve!$B$20,imvol!M240,imvol!P240,imvol!Q240,YEARFRAC(swap_curve!$C$1,imvol!N240)),"")</f>
        <v/>
      </c>
      <c r="S240" s="20" t="str">
        <f t="shared" si="15"/>
        <v/>
      </c>
    </row>
    <row r="241" spans="1:19" x14ac:dyDescent="0.3">
      <c r="A241" s="23" t="s">
        <v>936</v>
      </c>
      <c r="B241" s="23" t="s">
        <v>937</v>
      </c>
      <c r="C241" s="24">
        <v>0.01</v>
      </c>
      <c r="D241" s="24">
        <v>0</v>
      </c>
      <c r="E241" s="24">
        <v>0.01</v>
      </c>
      <c r="F241" s="24">
        <v>0.01</v>
      </c>
      <c r="G241" s="24">
        <v>0.01</v>
      </c>
      <c r="H241" s="24">
        <v>25.1</v>
      </c>
      <c r="I241" s="24">
        <v>0.01</v>
      </c>
      <c r="J241" s="25">
        <v>6</v>
      </c>
      <c r="K241" s="25">
        <v>0</v>
      </c>
      <c r="L241" s="25">
        <v>639</v>
      </c>
      <c r="M241" s="18">
        <f t="shared" si="17"/>
        <v>480</v>
      </c>
      <c r="N241" s="19">
        <f t="shared" si="18"/>
        <v>45456</v>
      </c>
      <c r="O241" s="18" t="b">
        <f t="shared" si="16"/>
        <v>0</v>
      </c>
      <c r="P241" s="43" t="str">
        <f>IF(O241,swap_curve!$B$19,"")</f>
        <v/>
      </c>
      <c r="Q241" t="str">
        <f t="shared" si="19"/>
        <v/>
      </c>
      <c r="R241" t="str" cm="1">
        <f t="array" ref="R241">IF(O241,BSCall(swap_curve!$B$20,imvol!M241,imvol!P241,imvol!Q241,YEARFRAC(swap_curve!$C$1,imvol!N241)),"")</f>
        <v/>
      </c>
      <c r="S241" s="20" t="str">
        <f t="shared" si="15"/>
        <v/>
      </c>
    </row>
    <row r="242" spans="1:19" x14ac:dyDescent="0.3">
      <c r="A242" s="23" t="s">
        <v>938</v>
      </c>
      <c r="B242" s="23" t="s">
        <v>939</v>
      </c>
      <c r="C242" s="24" t="s">
        <v>23</v>
      </c>
      <c r="D242" s="24" t="s">
        <v>23</v>
      </c>
      <c r="E242" s="24" t="s">
        <v>23</v>
      </c>
      <c r="F242" s="24" t="s">
        <v>23</v>
      </c>
      <c r="G242" s="24" t="s">
        <v>23</v>
      </c>
      <c r="H242" s="24">
        <v>25.6</v>
      </c>
      <c r="I242" s="24">
        <v>0.01</v>
      </c>
      <c r="J242" s="25">
        <v>0</v>
      </c>
      <c r="K242" s="25">
        <v>0</v>
      </c>
      <c r="L242" s="25">
        <v>76</v>
      </c>
      <c r="M242" s="18">
        <f t="shared" si="17"/>
        <v>482.5</v>
      </c>
      <c r="N242" s="19">
        <f t="shared" si="18"/>
        <v>45456</v>
      </c>
      <c r="O242" s="18" t="b">
        <f t="shared" si="16"/>
        <v>0</v>
      </c>
      <c r="P242" s="43" t="str">
        <f>IF(O242,swap_curve!$B$19,"")</f>
        <v/>
      </c>
      <c r="Q242" t="str">
        <f t="shared" si="19"/>
        <v/>
      </c>
      <c r="R242" t="str" cm="1">
        <f t="array" ref="R242">IF(O242,BSCall(swap_curve!$B$20,imvol!M242,imvol!P242,imvol!Q242,YEARFRAC(swap_curve!$C$1,imvol!N242)),"")</f>
        <v/>
      </c>
      <c r="S242" s="20" t="str">
        <f t="shared" si="15"/>
        <v/>
      </c>
    </row>
    <row r="243" spans="1:19" x14ac:dyDescent="0.3">
      <c r="A243" s="23" t="s">
        <v>940</v>
      </c>
      <c r="B243" s="23" t="s">
        <v>941</v>
      </c>
      <c r="C243" s="24">
        <v>0.01</v>
      </c>
      <c r="D243" s="24">
        <v>0</v>
      </c>
      <c r="E243" s="24">
        <v>0.01</v>
      </c>
      <c r="F243" s="24">
        <v>0.01</v>
      </c>
      <c r="G243" s="24">
        <v>0.01</v>
      </c>
      <c r="H243" s="24">
        <v>26.1</v>
      </c>
      <c r="I243" s="24">
        <v>0.01</v>
      </c>
      <c r="J243" s="25">
        <v>3</v>
      </c>
      <c r="K243" s="25">
        <v>0</v>
      </c>
      <c r="L243" s="25">
        <v>440</v>
      </c>
      <c r="M243" s="18">
        <f t="shared" si="17"/>
        <v>485</v>
      </c>
      <c r="N243" s="19">
        <f t="shared" si="18"/>
        <v>45456</v>
      </c>
      <c r="O243" s="18" t="b">
        <f t="shared" si="16"/>
        <v>0</v>
      </c>
      <c r="P243" s="43" t="str">
        <f>IF(O243,swap_curve!$B$19,"")</f>
        <v/>
      </c>
      <c r="Q243" t="str">
        <f t="shared" si="19"/>
        <v/>
      </c>
      <c r="R243" t="str" cm="1">
        <f t="array" ref="R243">IF(O243,BSCall(swap_curve!$B$20,imvol!M243,imvol!P243,imvol!Q243,YEARFRAC(swap_curve!$C$1,imvol!N243)),"")</f>
        <v/>
      </c>
      <c r="S243" s="20" t="str">
        <f t="shared" si="15"/>
        <v/>
      </c>
    </row>
    <row r="244" spans="1:19" x14ac:dyDescent="0.3">
      <c r="A244" s="23" t="s">
        <v>942</v>
      </c>
      <c r="B244" s="23" t="s">
        <v>943</v>
      </c>
      <c r="C244" s="24" t="s">
        <v>23</v>
      </c>
      <c r="D244" s="24" t="s">
        <v>23</v>
      </c>
      <c r="E244" s="24" t="s">
        <v>23</v>
      </c>
      <c r="F244" s="24" t="s">
        <v>23</v>
      </c>
      <c r="G244" s="24" t="s">
        <v>23</v>
      </c>
      <c r="H244" s="24">
        <v>17</v>
      </c>
      <c r="I244" s="24">
        <v>159.85</v>
      </c>
      <c r="J244" s="25">
        <v>0</v>
      </c>
      <c r="K244" s="25">
        <v>0</v>
      </c>
      <c r="L244" s="25">
        <v>0</v>
      </c>
      <c r="M244" s="18">
        <f t="shared" si="17"/>
        <v>205</v>
      </c>
      <c r="N244" s="19">
        <f t="shared" si="18"/>
        <v>45484</v>
      </c>
      <c r="O244" s="18" t="b">
        <f t="shared" si="16"/>
        <v>0</v>
      </c>
      <c r="P244" s="43" t="str">
        <f>IF(O244,swap_curve!$B$19,"")</f>
        <v/>
      </c>
      <c r="Q244" t="str">
        <f t="shared" si="19"/>
        <v/>
      </c>
      <c r="R244" t="str" cm="1">
        <f t="array" ref="R244">IF(O244,BSCall(swap_curve!$B$20,imvol!M244,imvol!P244,imvol!Q244,YEARFRAC(swap_curve!$C$1,imvol!N244)),"")</f>
        <v/>
      </c>
      <c r="S244" s="20" t="str">
        <f t="shared" si="15"/>
        <v/>
      </c>
    </row>
    <row r="245" spans="1:19" x14ac:dyDescent="0.3">
      <c r="A245" s="23" t="s">
        <v>944</v>
      </c>
      <c r="B245" s="23" t="s">
        <v>945</v>
      </c>
      <c r="C245" s="24" t="s">
        <v>23</v>
      </c>
      <c r="D245" s="24" t="s">
        <v>23</v>
      </c>
      <c r="E245" s="24" t="s">
        <v>23</v>
      </c>
      <c r="F245" s="24" t="s">
        <v>23</v>
      </c>
      <c r="G245" s="24" t="s">
        <v>23</v>
      </c>
      <c r="H245" s="24">
        <v>17</v>
      </c>
      <c r="I245" s="24">
        <v>157.4</v>
      </c>
      <c r="J245" s="25">
        <v>0</v>
      </c>
      <c r="K245" s="25">
        <v>0</v>
      </c>
      <c r="L245" s="25">
        <v>0</v>
      </c>
      <c r="M245" s="18">
        <f t="shared" si="17"/>
        <v>207.5</v>
      </c>
      <c r="N245" s="19">
        <f t="shared" si="18"/>
        <v>45484</v>
      </c>
      <c r="O245" s="18" t="b">
        <f t="shared" si="16"/>
        <v>0</v>
      </c>
      <c r="P245" s="43" t="str">
        <f>IF(O245,swap_curve!$B$19,"")</f>
        <v/>
      </c>
      <c r="Q245" t="str">
        <f t="shared" si="19"/>
        <v/>
      </c>
      <c r="R245" t="str" cm="1">
        <f t="array" ref="R245">IF(O245,BSCall(swap_curve!$B$20,imvol!M245,imvol!P245,imvol!Q245,YEARFRAC(swap_curve!$C$1,imvol!N245)),"")</f>
        <v/>
      </c>
      <c r="S245" s="20" t="str">
        <f t="shared" si="15"/>
        <v/>
      </c>
    </row>
    <row r="246" spans="1:19" x14ac:dyDescent="0.3">
      <c r="A246" s="23" t="s">
        <v>946</v>
      </c>
      <c r="B246" s="23" t="s">
        <v>947</v>
      </c>
      <c r="C246" s="24" t="s">
        <v>23</v>
      </c>
      <c r="D246" s="24" t="s">
        <v>23</v>
      </c>
      <c r="E246" s="24" t="s">
        <v>23</v>
      </c>
      <c r="F246" s="24" t="s">
        <v>23</v>
      </c>
      <c r="G246" s="24" t="s">
        <v>23</v>
      </c>
      <c r="H246" s="24">
        <v>17</v>
      </c>
      <c r="I246" s="24">
        <v>154.9</v>
      </c>
      <c r="J246" s="25">
        <v>0</v>
      </c>
      <c r="K246" s="25">
        <v>0</v>
      </c>
      <c r="L246" s="25">
        <v>0</v>
      </c>
      <c r="M246" s="18">
        <f t="shared" si="17"/>
        <v>210</v>
      </c>
      <c r="N246" s="19">
        <f t="shared" si="18"/>
        <v>45484</v>
      </c>
      <c r="O246" s="18" t="b">
        <f t="shared" si="16"/>
        <v>0</v>
      </c>
      <c r="P246" s="43" t="str">
        <f>IF(O246,swap_curve!$B$19,"")</f>
        <v/>
      </c>
      <c r="Q246" t="str">
        <f t="shared" si="19"/>
        <v/>
      </c>
      <c r="R246" t="str" cm="1">
        <f t="array" ref="R246">IF(O246,BSCall(swap_curve!$B$20,imvol!M246,imvol!P246,imvol!Q246,YEARFRAC(swap_curve!$C$1,imvol!N246)),"")</f>
        <v/>
      </c>
      <c r="S246" s="20" t="str">
        <f t="shared" si="15"/>
        <v/>
      </c>
    </row>
    <row r="247" spans="1:19" x14ac:dyDescent="0.3">
      <c r="A247" s="23" t="s">
        <v>948</v>
      </c>
      <c r="B247" s="23" t="s">
        <v>949</v>
      </c>
      <c r="C247" s="24" t="s">
        <v>23</v>
      </c>
      <c r="D247" s="24" t="s">
        <v>23</v>
      </c>
      <c r="E247" s="24" t="s">
        <v>23</v>
      </c>
      <c r="F247" s="24" t="s">
        <v>23</v>
      </c>
      <c r="G247" s="24" t="s">
        <v>23</v>
      </c>
      <c r="H247" s="24">
        <v>17</v>
      </c>
      <c r="I247" s="24">
        <v>152.4</v>
      </c>
      <c r="J247" s="25">
        <v>0</v>
      </c>
      <c r="K247" s="25">
        <v>0</v>
      </c>
      <c r="L247" s="25">
        <v>0</v>
      </c>
      <c r="M247" s="18">
        <f t="shared" si="17"/>
        <v>212.5</v>
      </c>
      <c r="N247" s="19">
        <f t="shared" si="18"/>
        <v>45484</v>
      </c>
      <c r="O247" s="18" t="b">
        <f t="shared" si="16"/>
        <v>0</v>
      </c>
      <c r="P247" s="43" t="str">
        <f>IF(O247,swap_curve!$B$19,"")</f>
        <v/>
      </c>
      <c r="Q247" t="str">
        <f t="shared" si="19"/>
        <v/>
      </c>
      <c r="R247" t="str" cm="1">
        <f t="array" ref="R247">IF(O247,BSCall(swap_curve!$B$20,imvol!M247,imvol!P247,imvol!Q247,YEARFRAC(swap_curve!$C$1,imvol!N247)),"")</f>
        <v/>
      </c>
      <c r="S247" s="20" t="str">
        <f t="shared" si="15"/>
        <v/>
      </c>
    </row>
    <row r="248" spans="1:19" x14ac:dyDescent="0.3">
      <c r="A248" s="23" t="s">
        <v>950</v>
      </c>
      <c r="B248" s="23" t="s">
        <v>951</v>
      </c>
      <c r="C248" s="24" t="s">
        <v>23</v>
      </c>
      <c r="D248" s="24" t="s">
        <v>23</v>
      </c>
      <c r="E248" s="24" t="s">
        <v>23</v>
      </c>
      <c r="F248" s="24" t="s">
        <v>23</v>
      </c>
      <c r="G248" s="24" t="s">
        <v>23</v>
      </c>
      <c r="H248" s="24">
        <v>17</v>
      </c>
      <c r="I248" s="24">
        <v>149.94999999999999</v>
      </c>
      <c r="J248" s="25">
        <v>0</v>
      </c>
      <c r="K248" s="25">
        <v>0</v>
      </c>
      <c r="L248" s="25">
        <v>0</v>
      </c>
      <c r="M248" s="18">
        <f t="shared" si="17"/>
        <v>215</v>
      </c>
      <c r="N248" s="19">
        <f t="shared" si="18"/>
        <v>45484</v>
      </c>
      <c r="O248" s="18" t="b">
        <f t="shared" si="16"/>
        <v>0</v>
      </c>
      <c r="P248" s="43" t="str">
        <f>IF(O248,swap_curve!$B$19,"")</f>
        <v/>
      </c>
      <c r="Q248" t="str">
        <f t="shared" si="19"/>
        <v/>
      </c>
      <c r="R248" t="str" cm="1">
        <f t="array" ref="R248">IF(O248,BSCall(swap_curve!$B$20,imvol!M248,imvol!P248,imvol!Q248,YEARFRAC(swap_curve!$C$1,imvol!N248)),"")</f>
        <v/>
      </c>
      <c r="S248" s="20" t="str">
        <f t="shared" si="15"/>
        <v/>
      </c>
    </row>
    <row r="249" spans="1:19" x14ac:dyDescent="0.3">
      <c r="A249" s="23" t="s">
        <v>952</v>
      </c>
      <c r="B249" s="23" t="s">
        <v>953</v>
      </c>
      <c r="C249" s="24" t="s">
        <v>23</v>
      </c>
      <c r="D249" s="24" t="s">
        <v>23</v>
      </c>
      <c r="E249" s="24" t="s">
        <v>23</v>
      </c>
      <c r="F249" s="24" t="s">
        <v>23</v>
      </c>
      <c r="G249" s="24" t="s">
        <v>23</v>
      </c>
      <c r="H249" s="24">
        <v>17</v>
      </c>
      <c r="I249" s="24">
        <v>147.44999999999999</v>
      </c>
      <c r="J249" s="25">
        <v>0</v>
      </c>
      <c r="K249" s="25">
        <v>0</v>
      </c>
      <c r="L249" s="25">
        <v>0</v>
      </c>
      <c r="M249" s="18">
        <f t="shared" si="17"/>
        <v>217.5</v>
      </c>
      <c r="N249" s="19">
        <f t="shared" si="18"/>
        <v>45484</v>
      </c>
      <c r="O249" s="18" t="b">
        <f t="shared" si="16"/>
        <v>0</v>
      </c>
      <c r="P249" s="43" t="str">
        <f>IF(O249,swap_curve!$B$19,"")</f>
        <v/>
      </c>
      <c r="Q249" t="str">
        <f t="shared" si="19"/>
        <v/>
      </c>
      <c r="R249" t="str" cm="1">
        <f t="array" ref="R249">IF(O249,BSCall(swap_curve!$B$20,imvol!M249,imvol!P249,imvol!Q249,YEARFRAC(swap_curve!$C$1,imvol!N249)),"")</f>
        <v/>
      </c>
      <c r="S249" s="20" t="str">
        <f t="shared" si="15"/>
        <v/>
      </c>
    </row>
    <row r="250" spans="1:19" x14ac:dyDescent="0.3">
      <c r="A250" s="23" t="s">
        <v>954</v>
      </c>
      <c r="B250" s="23" t="s">
        <v>955</v>
      </c>
      <c r="C250" s="24" t="s">
        <v>23</v>
      </c>
      <c r="D250" s="24" t="s">
        <v>23</v>
      </c>
      <c r="E250" s="24" t="s">
        <v>23</v>
      </c>
      <c r="F250" s="24" t="s">
        <v>23</v>
      </c>
      <c r="G250" s="24" t="s">
        <v>23</v>
      </c>
      <c r="H250" s="24">
        <v>17</v>
      </c>
      <c r="I250" s="24">
        <v>144.94999999999999</v>
      </c>
      <c r="J250" s="25">
        <v>0</v>
      </c>
      <c r="K250" s="25">
        <v>0</v>
      </c>
      <c r="L250" s="25">
        <v>0</v>
      </c>
      <c r="M250" s="18">
        <f t="shared" si="17"/>
        <v>220</v>
      </c>
      <c r="N250" s="19">
        <f t="shared" si="18"/>
        <v>45484</v>
      </c>
      <c r="O250" s="18" t="b">
        <f t="shared" si="16"/>
        <v>0</v>
      </c>
      <c r="P250" s="43" t="str">
        <f>IF(O250,swap_curve!$B$19,"")</f>
        <v/>
      </c>
      <c r="Q250" t="str">
        <f t="shared" si="19"/>
        <v/>
      </c>
      <c r="R250" t="str" cm="1">
        <f t="array" ref="R250">IF(O250,BSCall(swap_curve!$B$20,imvol!M250,imvol!P250,imvol!Q250,YEARFRAC(swap_curve!$C$1,imvol!N250)),"")</f>
        <v/>
      </c>
      <c r="S250" s="20" t="str">
        <f t="shared" si="15"/>
        <v/>
      </c>
    </row>
    <row r="251" spans="1:19" x14ac:dyDescent="0.3">
      <c r="A251" s="23" t="s">
        <v>956</v>
      </c>
      <c r="B251" s="23" t="s">
        <v>957</v>
      </c>
      <c r="C251" s="24" t="s">
        <v>23</v>
      </c>
      <c r="D251" s="24" t="s">
        <v>23</v>
      </c>
      <c r="E251" s="24" t="s">
        <v>23</v>
      </c>
      <c r="F251" s="24" t="s">
        <v>23</v>
      </c>
      <c r="G251" s="24" t="s">
        <v>23</v>
      </c>
      <c r="H251" s="24">
        <v>17</v>
      </c>
      <c r="I251" s="24">
        <v>142.5</v>
      </c>
      <c r="J251" s="25">
        <v>0</v>
      </c>
      <c r="K251" s="25">
        <v>0</v>
      </c>
      <c r="L251" s="25">
        <v>0</v>
      </c>
      <c r="M251" s="18">
        <f t="shared" si="17"/>
        <v>222.5</v>
      </c>
      <c r="N251" s="19">
        <f t="shared" si="18"/>
        <v>45484</v>
      </c>
      <c r="O251" s="18" t="b">
        <f t="shared" si="16"/>
        <v>0</v>
      </c>
      <c r="P251" s="43" t="str">
        <f>IF(O251,swap_curve!$B$19,"")</f>
        <v/>
      </c>
      <c r="Q251" t="str">
        <f t="shared" si="19"/>
        <v/>
      </c>
      <c r="R251" t="str" cm="1">
        <f t="array" ref="R251">IF(O251,BSCall(swap_curve!$B$20,imvol!M251,imvol!P251,imvol!Q251,YEARFRAC(swap_curve!$C$1,imvol!N251)),"")</f>
        <v/>
      </c>
      <c r="S251" s="20" t="str">
        <f t="shared" si="15"/>
        <v/>
      </c>
    </row>
    <row r="252" spans="1:19" x14ac:dyDescent="0.3">
      <c r="A252" s="23" t="s">
        <v>958</v>
      </c>
      <c r="B252" s="23" t="s">
        <v>959</v>
      </c>
      <c r="C252" s="24" t="s">
        <v>23</v>
      </c>
      <c r="D252" s="24" t="s">
        <v>23</v>
      </c>
      <c r="E252" s="24" t="s">
        <v>23</v>
      </c>
      <c r="F252" s="24" t="s">
        <v>23</v>
      </c>
      <c r="G252" s="24" t="s">
        <v>23</v>
      </c>
      <c r="H252" s="24">
        <v>17</v>
      </c>
      <c r="I252" s="24">
        <v>140</v>
      </c>
      <c r="J252" s="25">
        <v>0</v>
      </c>
      <c r="K252" s="25">
        <v>0</v>
      </c>
      <c r="L252" s="25">
        <v>0</v>
      </c>
      <c r="M252" s="18">
        <f t="shared" si="17"/>
        <v>225</v>
      </c>
      <c r="N252" s="19">
        <f t="shared" si="18"/>
        <v>45484</v>
      </c>
      <c r="O252" s="18" t="b">
        <f t="shared" si="16"/>
        <v>0</v>
      </c>
      <c r="P252" s="43" t="str">
        <f>IF(O252,swap_curve!$B$19,"")</f>
        <v/>
      </c>
      <c r="Q252" t="str">
        <f t="shared" si="19"/>
        <v/>
      </c>
      <c r="R252" t="str" cm="1">
        <f t="array" ref="R252">IF(O252,BSCall(swap_curve!$B$20,imvol!M252,imvol!P252,imvol!Q252,YEARFRAC(swap_curve!$C$1,imvol!N252)),"")</f>
        <v/>
      </c>
      <c r="S252" s="20" t="str">
        <f t="shared" si="15"/>
        <v/>
      </c>
    </row>
    <row r="253" spans="1:19" x14ac:dyDescent="0.3">
      <c r="A253" s="23" t="s">
        <v>960</v>
      </c>
      <c r="B253" s="23" t="s">
        <v>961</v>
      </c>
      <c r="C253" s="24" t="s">
        <v>23</v>
      </c>
      <c r="D253" s="24" t="s">
        <v>23</v>
      </c>
      <c r="E253" s="24" t="s">
        <v>23</v>
      </c>
      <c r="F253" s="24" t="s">
        <v>23</v>
      </c>
      <c r="G253" s="24" t="s">
        <v>23</v>
      </c>
      <c r="H253" s="24">
        <v>17</v>
      </c>
      <c r="I253" s="24">
        <v>137.5</v>
      </c>
      <c r="J253" s="25">
        <v>0</v>
      </c>
      <c r="K253" s="25">
        <v>0</v>
      </c>
      <c r="L253" s="25">
        <v>0</v>
      </c>
      <c r="M253" s="18">
        <f t="shared" si="17"/>
        <v>227.5</v>
      </c>
      <c r="N253" s="19">
        <f t="shared" si="18"/>
        <v>45484</v>
      </c>
      <c r="O253" s="18" t="b">
        <f t="shared" si="16"/>
        <v>0</v>
      </c>
      <c r="P253" s="43" t="str">
        <f>IF(O253,swap_curve!$B$19,"")</f>
        <v/>
      </c>
      <c r="Q253" t="str">
        <f t="shared" si="19"/>
        <v/>
      </c>
      <c r="R253" t="str" cm="1">
        <f t="array" ref="R253">IF(O253,BSCall(swap_curve!$B$20,imvol!M253,imvol!P253,imvol!Q253,YEARFRAC(swap_curve!$C$1,imvol!N253)),"")</f>
        <v/>
      </c>
      <c r="S253" s="20" t="str">
        <f t="shared" si="15"/>
        <v/>
      </c>
    </row>
    <row r="254" spans="1:19" x14ac:dyDescent="0.3">
      <c r="A254" s="23" t="s">
        <v>962</v>
      </c>
      <c r="B254" s="23" t="s">
        <v>963</v>
      </c>
      <c r="C254" s="24" t="s">
        <v>23</v>
      </c>
      <c r="D254" s="24" t="s">
        <v>23</v>
      </c>
      <c r="E254" s="24" t="s">
        <v>23</v>
      </c>
      <c r="F254" s="24" t="s">
        <v>23</v>
      </c>
      <c r="G254" s="24" t="s">
        <v>23</v>
      </c>
      <c r="H254" s="24">
        <v>17</v>
      </c>
      <c r="I254" s="24">
        <v>135.05000000000001</v>
      </c>
      <c r="J254" s="25">
        <v>0</v>
      </c>
      <c r="K254" s="25">
        <v>0</v>
      </c>
      <c r="L254" s="25">
        <v>0</v>
      </c>
      <c r="M254" s="18">
        <f t="shared" si="17"/>
        <v>230</v>
      </c>
      <c r="N254" s="19">
        <f t="shared" si="18"/>
        <v>45484</v>
      </c>
      <c r="O254" s="18" t="b">
        <f t="shared" si="16"/>
        <v>0</v>
      </c>
      <c r="P254" s="43" t="str">
        <f>IF(O254,swap_curve!$B$19,"")</f>
        <v/>
      </c>
      <c r="Q254" t="str">
        <f t="shared" si="19"/>
        <v/>
      </c>
      <c r="R254" t="str" cm="1">
        <f t="array" ref="R254">IF(O254,BSCall(swap_curve!$B$20,imvol!M254,imvol!P254,imvol!Q254,YEARFRAC(swap_curve!$C$1,imvol!N254)),"")</f>
        <v/>
      </c>
      <c r="S254" s="20" t="str">
        <f t="shared" si="15"/>
        <v/>
      </c>
    </row>
    <row r="255" spans="1:19" x14ac:dyDescent="0.3">
      <c r="A255" s="23" t="s">
        <v>964</v>
      </c>
      <c r="B255" s="23" t="s">
        <v>965</v>
      </c>
      <c r="C255" s="24" t="s">
        <v>23</v>
      </c>
      <c r="D255" s="24" t="s">
        <v>23</v>
      </c>
      <c r="E255" s="24" t="s">
        <v>23</v>
      </c>
      <c r="F255" s="24" t="s">
        <v>23</v>
      </c>
      <c r="G255" s="24" t="s">
        <v>23</v>
      </c>
      <c r="H255" s="24">
        <v>17</v>
      </c>
      <c r="I255" s="24">
        <v>132.55000000000001</v>
      </c>
      <c r="J255" s="25">
        <v>0</v>
      </c>
      <c r="K255" s="25">
        <v>0</v>
      </c>
      <c r="L255" s="25">
        <v>0</v>
      </c>
      <c r="M255" s="18">
        <f t="shared" si="17"/>
        <v>232.5</v>
      </c>
      <c r="N255" s="19">
        <f t="shared" si="18"/>
        <v>45484</v>
      </c>
      <c r="O255" s="18" t="b">
        <f t="shared" si="16"/>
        <v>0</v>
      </c>
      <c r="P255" s="43" t="str">
        <f>IF(O255,swap_curve!$B$19,"")</f>
        <v/>
      </c>
      <c r="Q255" t="str">
        <f t="shared" si="19"/>
        <v/>
      </c>
      <c r="R255" t="str" cm="1">
        <f t="array" ref="R255">IF(O255,BSCall(swap_curve!$B$20,imvol!M255,imvol!P255,imvol!Q255,YEARFRAC(swap_curve!$C$1,imvol!N255)),"")</f>
        <v/>
      </c>
      <c r="S255" s="20" t="str">
        <f t="shared" ref="S255:S318" si="20">IF(O255,R255-C255,"")</f>
        <v/>
      </c>
    </row>
    <row r="256" spans="1:19" x14ac:dyDescent="0.3">
      <c r="A256" s="23" t="s">
        <v>966</v>
      </c>
      <c r="B256" s="23" t="s">
        <v>967</v>
      </c>
      <c r="C256" s="24" t="s">
        <v>23</v>
      </c>
      <c r="D256" s="24" t="s">
        <v>23</v>
      </c>
      <c r="E256" s="24" t="s">
        <v>23</v>
      </c>
      <c r="F256" s="24" t="s">
        <v>23</v>
      </c>
      <c r="G256" s="24" t="s">
        <v>23</v>
      </c>
      <c r="H256" s="24">
        <v>17</v>
      </c>
      <c r="I256" s="24">
        <v>130.05000000000001</v>
      </c>
      <c r="J256" s="25">
        <v>0</v>
      </c>
      <c r="K256" s="25">
        <v>0</v>
      </c>
      <c r="L256" s="25">
        <v>0</v>
      </c>
      <c r="M256" s="18">
        <f t="shared" si="17"/>
        <v>235</v>
      </c>
      <c r="N256" s="19">
        <f t="shared" si="18"/>
        <v>45484</v>
      </c>
      <c r="O256" s="18" t="b">
        <f t="shared" si="16"/>
        <v>0</v>
      </c>
      <c r="P256" s="43" t="str">
        <f>IF(O256,swap_curve!$B$19,"")</f>
        <v/>
      </c>
      <c r="Q256" t="str">
        <f t="shared" si="19"/>
        <v/>
      </c>
      <c r="R256" t="str" cm="1">
        <f t="array" ref="R256">IF(O256,BSCall(swap_curve!$B$20,imvol!M256,imvol!P256,imvol!Q256,YEARFRAC(swap_curve!$C$1,imvol!N256)),"")</f>
        <v/>
      </c>
      <c r="S256" s="20" t="str">
        <f t="shared" si="20"/>
        <v/>
      </c>
    </row>
    <row r="257" spans="1:19" x14ac:dyDescent="0.3">
      <c r="A257" s="23" t="s">
        <v>968</v>
      </c>
      <c r="B257" s="23" t="s">
        <v>969</v>
      </c>
      <c r="C257" s="24" t="s">
        <v>23</v>
      </c>
      <c r="D257" s="24" t="s">
        <v>23</v>
      </c>
      <c r="E257" s="24" t="s">
        <v>23</v>
      </c>
      <c r="F257" s="24" t="s">
        <v>23</v>
      </c>
      <c r="G257" s="24" t="s">
        <v>23</v>
      </c>
      <c r="H257" s="24">
        <v>17</v>
      </c>
      <c r="I257" s="24">
        <v>127.6</v>
      </c>
      <c r="J257" s="25">
        <v>0</v>
      </c>
      <c r="K257" s="25">
        <v>0</v>
      </c>
      <c r="L257" s="25">
        <v>0</v>
      </c>
      <c r="M257" s="18">
        <f t="shared" si="17"/>
        <v>237.5</v>
      </c>
      <c r="N257" s="19">
        <f t="shared" si="18"/>
        <v>45484</v>
      </c>
      <c r="O257" s="18" t="b">
        <f t="shared" si="16"/>
        <v>0</v>
      </c>
      <c r="P257" s="43" t="str">
        <f>IF(O257,swap_curve!$B$19,"")</f>
        <v/>
      </c>
      <c r="Q257" t="str">
        <f t="shared" si="19"/>
        <v/>
      </c>
      <c r="R257" t="str" cm="1">
        <f t="array" ref="R257">IF(O257,BSCall(swap_curve!$B$20,imvol!M257,imvol!P257,imvol!Q257,YEARFRAC(swap_curve!$C$1,imvol!N257)),"")</f>
        <v/>
      </c>
      <c r="S257" s="20" t="str">
        <f t="shared" si="20"/>
        <v/>
      </c>
    </row>
    <row r="258" spans="1:19" x14ac:dyDescent="0.3">
      <c r="A258" s="23" t="s">
        <v>970</v>
      </c>
      <c r="B258" s="23" t="s">
        <v>971</v>
      </c>
      <c r="C258" s="24" t="s">
        <v>23</v>
      </c>
      <c r="D258" s="24" t="s">
        <v>23</v>
      </c>
      <c r="E258" s="24" t="s">
        <v>23</v>
      </c>
      <c r="F258" s="24" t="s">
        <v>23</v>
      </c>
      <c r="G258" s="24" t="s">
        <v>23</v>
      </c>
      <c r="H258" s="24">
        <v>17</v>
      </c>
      <c r="I258" s="24">
        <v>125.1</v>
      </c>
      <c r="J258" s="25">
        <v>0</v>
      </c>
      <c r="K258" s="25">
        <v>0</v>
      </c>
      <c r="L258" s="25">
        <v>0</v>
      </c>
      <c r="M258" s="18">
        <f t="shared" si="17"/>
        <v>240</v>
      </c>
      <c r="N258" s="19">
        <f t="shared" si="18"/>
        <v>45484</v>
      </c>
      <c r="O258" s="18" t="b">
        <f t="shared" ref="O258:O321" si="21">IF(J258&gt;100, TRUE,FALSE)</f>
        <v>0</v>
      </c>
      <c r="P258" s="43" t="str">
        <f>IF(O258,swap_curve!$B$19,"")</f>
        <v/>
      </c>
      <c r="Q258" t="str">
        <f t="shared" si="19"/>
        <v/>
      </c>
      <c r="R258" t="str" cm="1">
        <f t="array" ref="R258">IF(O258,BSCall(swap_curve!$B$20,imvol!M258,imvol!P258,imvol!Q258,YEARFRAC(swap_curve!$C$1,imvol!N258)),"")</f>
        <v/>
      </c>
      <c r="S258" s="20" t="str">
        <f t="shared" si="20"/>
        <v/>
      </c>
    </row>
    <row r="259" spans="1:19" x14ac:dyDescent="0.3">
      <c r="A259" s="23" t="s">
        <v>972</v>
      </c>
      <c r="B259" s="23" t="s">
        <v>973</v>
      </c>
      <c r="C259" s="24" t="s">
        <v>23</v>
      </c>
      <c r="D259" s="24" t="s">
        <v>23</v>
      </c>
      <c r="E259" s="24" t="s">
        <v>23</v>
      </c>
      <c r="F259" s="24" t="s">
        <v>23</v>
      </c>
      <c r="G259" s="24" t="s">
        <v>23</v>
      </c>
      <c r="H259" s="24">
        <v>17</v>
      </c>
      <c r="I259" s="24">
        <v>122.6</v>
      </c>
      <c r="J259" s="25">
        <v>0</v>
      </c>
      <c r="K259" s="25">
        <v>0</v>
      </c>
      <c r="L259" s="25">
        <v>0</v>
      </c>
      <c r="M259" s="18">
        <f t="shared" ref="M259:M322" si="22">VALUE(RIGHT(B259, 6))</f>
        <v>242.5</v>
      </c>
      <c r="N259" s="19">
        <f t="shared" ref="N259:N322" si="23">DATE(VALUE(LEFT(MID(B259,10,6),4)),VALUE(RIGHT(MID(B259,10,6),2)),1)+MOD(5-WEEKDAY(DATE(VALUE(LEFT(MID(B259,10,6),4)),VALUE(RIGHT(MID(B259,10,6),2)),1)),7)+7</f>
        <v>45484</v>
      </c>
      <c r="O259" s="18" t="b">
        <f t="shared" si="21"/>
        <v>0</v>
      </c>
      <c r="P259" s="43" t="str">
        <f>IF(O259,swap_curve!$B$19,"")</f>
        <v/>
      </c>
      <c r="Q259" t="str">
        <f t="shared" ref="Q259:Q321" si="24">IF(O259,H259%,"")</f>
        <v/>
      </c>
      <c r="R259" t="str" cm="1">
        <f t="array" ref="R259">IF(O259,BSCall(swap_curve!$B$20,imvol!M259,imvol!P259,imvol!Q259,YEARFRAC(swap_curve!$C$1,imvol!N259)),"")</f>
        <v/>
      </c>
      <c r="S259" s="20" t="str">
        <f t="shared" si="20"/>
        <v/>
      </c>
    </row>
    <row r="260" spans="1:19" x14ac:dyDescent="0.3">
      <c r="A260" s="23" t="s">
        <v>974</v>
      </c>
      <c r="B260" s="23" t="s">
        <v>975</v>
      </c>
      <c r="C260" s="24" t="s">
        <v>23</v>
      </c>
      <c r="D260" s="24" t="s">
        <v>23</v>
      </c>
      <c r="E260" s="24" t="s">
        <v>23</v>
      </c>
      <c r="F260" s="24" t="s">
        <v>23</v>
      </c>
      <c r="G260" s="24" t="s">
        <v>23</v>
      </c>
      <c r="H260" s="24">
        <v>17</v>
      </c>
      <c r="I260" s="24">
        <v>120.15</v>
      </c>
      <c r="J260" s="25">
        <v>0</v>
      </c>
      <c r="K260" s="25">
        <v>0</v>
      </c>
      <c r="L260" s="25">
        <v>0</v>
      </c>
      <c r="M260" s="18">
        <f t="shared" si="22"/>
        <v>245</v>
      </c>
      <c r="N260" s="19">
        <f t="shared" si="23"/>
        <v>45484</v>
      </c>
      <c r="O260" s="18" t="b">
        <f t="shared" si="21"/>
        <v>0</v>
      </c>
      <c r="P260" s="43" t="str">
        <f>IF(O260,swap_curve!$B$19,"")</f>
        <v/>
      </c>
      <c r="Q260" t="str">
        <f t="shared" si="24"/>
        <v/>
      </c>
      <c r="R260" t="str" cm="1">
        <f t="array" ref="R260">IF(O260,BSCall(swap_curve!$B$20,imvol!M260,imvol!P260,imvol!Q260,YEARFRAC(swap_curve!$C$1,imvol!N260)),"")</f>
        <v/>
      </c>
      <c r="S260" s="20" t="str">
        <f t="shared" si="20"/>
        <v/>
      </c>
    </row>
    <row r="261" spans="1:19" x14ac:dyDescent="0.3">
      <c r="A261" s="23" t="s">
        <v>976</v>
      </c>
      <c r="B261" s="23" t="s">
        <v>977</v>
      </c>
      <c r="C261" s="24" t="s">
        <v>23</v>
      </c>
      <c r="D261" s="24" t="s">
        <v>23</v>
      </c>
      <c r="E261" s="24" t="s">
        <v>23</v>
      </c>
      <c r="F261" s="24" t="s">
        <v>23</v>
      </c>
      <c r="G261" s="24" t="s">
        <v>23</v>
      </c>
      <c r="H261" s="24">
        <v>17</v>
      </c>
      <c r="I261" s="24">
        <v>117.65</v>
      </c>
      <c r="J261" s="25">
        <v>0</v>
      </c>
      <c r="K261" s="25">
        <v>0</v>
      </c>
      <c r="L261" s="25">
        <v>0</v>
      </c>
      <c r="M261" s="18">
        <f t="shared" si="22"/>
        <v>247.5</v>
      </c>
      <c r="N261" s="19">
        <f t="shared" si="23"/>
        <v>45484</v>
      </c>
      <c r="O261" s="18" t="b">
        <f t="shared" si="21"/>
        <v>0</v>
      </c>
      <c r="P261" s="43" t="str">
        <f>IF(O261,swap_curve!$B$19,"")</f>
        <v/>
      </c>
      <c r="Q261" t="str">
        <f t="shared" si="24"/>
        <v/>
      </c>
      <c r="R261" t="str" cm="1">
        <f t="array" ref="R261">IF(O261,BSCall(swap_curve!$B$20,imvol!M261,imvol!P261,imvol!Q261,YEARFRAC(swap_curve!$C$1,imvol!N261)),"")</f>
        <v/>
      </c>
      <c r="S261" s="20" t="str">
        <f t="shared" si="20"/>
        <v/>
      </c>
    </row>
    <row r="262" spans="1:19" x14ac:dyDescent="0.3">
      <c r="A262" s="23" t="s">
        <v>978</v>
      </c>
      <c r="B262" s="23" t="s">
        <v>979</v>
      </c>
      <c r="C262" s="24" t="s">
        <v>23</v>
      </c>
      <c r="D262" s="24" t="s">
        <v>23</v>
      </c>
      <c r="E262" s="24" t="s">
        <v>23</v>
      </c>
      <c r="F262" s="24" t="s">
        <v>23</v>
      </c>
      <c r="G262" s="24" t="s">
        <v>23</v>
      </c>
      <c r="H262" s="24">
        <v>17</v>
      </c>
      <c r="I262" s="24">
        <v>115.2</v>
      </c>
      <c r="J262" s="25">
        <v>0</v>
      </c>
      <c r="K262" s="25">
        <v>0</v>
      </c>
      <c r="L262" s="25">
        <v>0</v>
      </c>
      <c r="M262" s="18">
        <f t="shared" si="22"/>
        <v>250</v>
      </c>
      <c r="N262" s="19">
        <f t="shared" si="23"/>
        <v>45484</v>
      </c>
      <c r="O262" s="18" t="b">
        <f t="shared" si="21"/>
        <v>0</v>
      </c>
      <c r="P262" s="43" t="str">
        <f>IF(O262,swap_curve!$B$19,"")</f>
        <v/>
      </c>
      <c r="Q262" t="str">
        <f t="shared" si="24"/>
        <v/>
      </c>
      <c r="R262" t="str" cm="1">
        <f t="array" ref="R262">IF(O262,BSCall(swap_curve!$B$20,imvol!M262,imvol!P262,imvol!Q262,YEARFRAC(swap_curve!$C$1,imvol!N262)),"")</f>
        <v/>
      </c>
      <c r="S262" s="20" t="str">
        <f t="shared" si="20"/>
        <v/>
      </c>
    </row>
    <row r="263" spans="1:19" x14ac:dyDescent="0.3">
      <c r="A263" s="23" t="s">
        <v>980</v>
      </c>
      <c r="B263" s="23" t="s">
        <v>981</v>
      </c>
      <c r="C263" s="24" t="s">
        <v>23</v>
      </c>
      <c r="D263" s="24" t="s">
        <v>23</v>
      </c>
      <c r="E263" s="24" t="s">
        <v>23</v>
      </c>
      <c r="F263" s="24" t="s">
        <v>23</v>
      </c>
      <c r="G263" s="24" t="s">
        <v>23</v>
      </c>
      <c r="H263" s="24">
        <v>17</v>
      </c>
      <c r="I263" s="24">
        <v>112.7</v>
      </c>
      <c r="J263" s="25">
        <v>0</v>
      </c>
      <c r="K263" s="25">
        <v>0</v>
      </c>
      <c r="L263" s="25">
        <v>0</v>
      </c>
      <c r="M263" s="18">
        <f t="shared" si="22"/>
        <v>252.5</v>
      </c>
      <c r="N263" s="19">
        <f t="shared" si="23"/>
        <v>45484</v>
      </c>
      <c r="O263" s="18" t="b">
        <f t="shared" si="21"/>
        <v>0</v>
      </c>
      <c r="P263" s="43" t="str">
        <f>IF(O263,swap_curve!$B$19,"")</f>
        <v/>
      </c>
      <c r="Q263" t="str">
        <f t="shared" si="24"/>
        <v/>
      </c>
      <c r="R263" t="str" cm="1">
        <f t="array" ref="R263">IF(O263,BSCall(swap_curve!$B$20,imvol!M263,imvol!P263,imvol!Q263,YEARFRAC(swap_curve!$C$1,imvol!N263)),"")</f>
        <v/>
      </c>
      <c r="S263" s="20" t="str">
        <f t="shared" si="20"/>
        <v/>
      </c>
    </row>
    <row r="264" spans="1:19" x14ac:dyDescent="0.3">
      <c r="A264" s="23" t="s">
        <v>982</v>
      </c>
      <c r="B264" s="23" t="s">
        <v>983</v>
      </c>
      <c r="C264" s="24" t="s">
        <v>23</v>
      </c>
      <c r="D264" s="24" t="s">
        <v>23</v>
      </c>
      <c r="E264" s="24" t="s">
        <v>23</v>
      </c>
      <c r="F264" s="24" t="s">
        <v>23</v>
      </c>
      <c r="G264" s="24" t="s">
        <v>23</v>
      </c>
      <c r="H264" s="24">
        <v>17</v>
      </c>
      <c r="I264" s="24">
        <v>110.2</v>
      </c>
      <c r="J264" s="25">
        <v>0</v>
      </c>
      <c r="K264" s="25">
        <v>0</v>
      </c>
      <c r="L264" s="25">
        <v>0</v>
      </c>
      <c r="M264" s="18">
        <f t="shared" si="22"/>
        <v>255</v>
      </c>
      <c r="N264" s="19">
        <f t="shared" si="23"/>
        <v>45484</v>
      </c>
      <c r="O264" s="18" t="b">
        <f t="shared" si="21"/>
        <v>0</v>
      </c>
      <c r="P264" s="43" t="str">
        <f>IF(O264,swap_curve!$B$19,"")</f>
        <v/>
      </c>
      <c r="Q264" t="str">
        <f t="shared" si="24"/>
        <v/>
      </c>
      <c r="R264" t="str" cm="1">
        <f t="array" ref="R264">IF(O264,BSCall(swap_curve!$B$20,imvol!M264,imvol!P264,imvol!Q264,YEARFRAC(swap_curve!$C$1,imvol!N264)),"")</f>
        <v/>
      </c>
      <c r="S264" s="20" t="str">
        <f t="shared" si="20"/>
        <v/>
      </c>
    </row>
    <row r="265" spans="1:19" x14ac:dyDescent="0.3">
      <c r="A265" s="23" t="s">
        <v>984</v>
      </c>
      <c r="B265" s="23" t="s">
        <v>985</v>
      </c>
      <c r="C265" s="24" t="s">
        <v>23</v>
      </c>
      <c r="D265" s="24" t="s">
        <v>23</v>
      </c>
      <c r="E265" s="24" t="s">
        <v>23</v>
      </c>
      <c r="F265" s="24" t="s">
        <v>23</v>
      </c>
      <c r="G265" s="24" t="s">
        <v>23</v>
      </c>
      <c r="H265" s="24">
        <v>17</v>
      </c>
      <c r="I265" s="24">
        <v>107.75</v>
      </c>
      <c r="J265" s="25">
        <v>0</v>
      </c>
      <c r="K265" s="25">
        <v>0</v>
      </c>
      <c r="L265" s="25">
        <v>0</v>
      </c>
      <c r="M265" s="18">
        <f t="shared" si="22"/>
        <v>257.5</v>
      </c>
      <c r="N265" s="19">
        <f t="shared" si="23"/>
        <v>45484</v>
      </c>
      <c r="O265" s="18" t="b">
        <f t="shared" si="21"/>
        <v>0</v>
      </c>
      <c r="P265" s="43" t="str">
        <f>IF(O265,swap_curve!$B$19,"")</f>
        <v/>
      </c>
      <c r="Q265" t="str">
        <f t="shared" si="24"/>
        <v/>
      </c>
      <c r="R265" t="str" cm="1">
        <f t="array" ref="R265">IF(O265,BSCall(swap_curve!$B$20,imvol!M265,imvol!P265,imvol!Q265,YEARFRAC(swap_curve!$C$1,imvol!N265)),"")</f>
        <v/>
      </c>
      <c r="S265" s="20" t="str">
        <f t="shared" si="20"/>
        <v/>
      </c>
    </row>
    <row r="266" spans="1:19" x14ac:dyDescent="0.3">
      <c r="A266" s="23" t="s">
        <v>986</v>
      </c>
      <c r="B266" s="23" t="s">
        <v>987</v>
      </c>
      <c r="C266" s="24" t="s">
        <v>23</v>
      </c>
      <c r="D266" s="24" t="s">
        <v>23</v>
      </c>
      <c r="E266" s="24" t="s">
        <v>23</v>
      </c>
      <c r="F266" s="24" t="s">
        <v>23</v>
      </c>
      <c r="G266" s="24" t="s">
        <v>23</v>
      </c>
      <c r="H266" s="24">
        <v>17</v>
      </c>
      <c r="I266" s="24">
        <v>105.25</v>
      </c>
      <c r="J266" s="25">
        <v>0</v>
      </c>
      <c r="K266" s="25">
        <v>0</v>
      </c>
      <c r="L266" s="25">
        <v>0</v>
      </c>
      <c r="M266" s="18">
        <f t="shared" si="22"/>
        <v>260</v>
      </c>
      <c r="N266" s="19">
        <f t="shared" si="23"/>
        <v>45484</v>
      </c>
      <c r="O266" s="18" t="b">
        <f t="shared" si="21"/>
        <v>0</v>
      </c>
      <c r="P266" s="43" t="str">
        <f>IF(O266,swap_curve!$B$19,"")</f>
        <v/>
      </c>
      <c r="Q266" t="str">
        <f t="shared" si="24"/>
        <v/>
      </c>
      <c r="R266" t="str" cm="1">
        <f t="array" ref="R266">IF(O266,BSCall(swap_curve!$B$20,imvol!M266,imvol!P266,imvol!Q266,YEARFRAC(swap_curve!$C$1,imvol!N266)),"")</f>
        <v/>
      </c>
      <c r="S266" s="20" t="str">
        <f t="shared" si="20"/>
        <v/>
      </c>
    </row>
    <row r="267" spans="1:19" x14ac:dyDescent="0.3">
      <c r="A267" s="23" t="s">
        <v>988</v>
      </c>
      <c r="B267" s="23" t="s">
        <v>989</v>
      </c>
      <c r="C267" s="24" t="s">
        <v>23</v>
      </c>
      <c r="D267" s="24" t="s">
        <v>23</v>
      </c>
      <c r="E267" s="24" t="s">
        <v>23</v>
      </c>
      <c r="F267" s="24" t="s">
        <v>23</v>
      </c>
      <c r="G267" s="24" t="s">
        <v>23</v>
      </c>
      <c r="H267" s="24">
        <v>17</v>
      </c>
      <c r="I267" s="24">
        <v>102.75</v>
      </c>
      <c r="J267" s="25">
        <v>0</v>
      </c>
      <c r="K267" s="25">
        <v>0</v>
      </c>
      <c r="L267" s="25">
        <v>0</v>
      </c>
      <c r="M267" s="18">
        <f t="shared" si="22"/>
        <v>262.5</v>
      </c>
      <c r="N267" s="19">
        <f t="shared" si="23"/>
        <v>45484</v>
      </c>
      <c r="O267" s="18" t="b">
        <f t="shared" si="21"/>
        <v>0</v>
      </c>
      <c r="P267" s="43" t="str">
        <f>IF(O267,swap_curve!$B$19,"")</f>
        <v/>
      </c>
      <c r="Q267" t="str">
        <f t="shared" si="24"/>
        <v/>
      </c>
      <c r="R267" t="str" cm="1">
        <f t="array" ref="R267">IF(O267,BSCall(swap_curve!$B$20,imvol!M267,imvol!P267,imvol!Q267,YEARFRAC(swap_curve!$C$1,imvol!N267)),"")</f>
        <v/>
      </c>
      <c r="S267" s="20" t="str">
        <f t="shared" si="20"/>
        <v/>
      </c>
    </row>
    <row r="268" spans="1:19" x14ac:dyDescent="0.3">
      <c r="A268" s="23" t="s">
        <v>990</v>
      </c>
      <c r="B268" s="23" t="s">
        <v>991</v>
      </c>
      <c r="C268" s="24" t="s">
        <v>23</v>
      </c>
      <c r="D268" s="24" t="s">
        <v>23</v>
      </c>
      <c r="E268" s="24" t="s">
        <v>23</v>
      </c>
      <c r="F268" s="24" t="s">
        <v>23</v>
      </c>
      <c r="G268" s="24" t="s">
        <v>23</v>
      </c>
      <c r="H268" s="24">
        <v>17</v>
      </c>
      <c r="I268" s="24">
        <v>100.3</v>
      </c>
      <c r="J268" s="25">
        <v>0</v>
      </c>
      <c r="K268" s="25">
        <v>0</v>
      </c>
      <c r="L268" s="25">
        <v>0</v>
      </c>
      <c r="M268" s="18">
        <f t="shared" si="22"/>
        <v>265</v>
      </c>
      <c r="N268" s="19">
        <f t="shared" si="23"/>
        <v>45484</v>
      </c>
      <c r="O268" s="18" t="b">
        <f t="shared" si="21"/>
        <v>0</v>
      </c>
      <c r="P268" s="43" t="str">
        <f>IF(O268,swap_curve!$B$19,"")</f>
        <v/>
      </c>
      <c r="Q268" t="str">
        <f t="shared" si="24"/>
        <v/>
      </c>
      <c r="R268" t="str" cm="1">
        <f t="array" ref="R268">IF(O268,BSCall(swap_curve!$B$20,imvol!M268,imvol!P268,imvol!Q268,YEARFRAC(swap_curve!$C$1,imvol!N268)),"")</f>
        <v/>
      </c>
      <c r="S268" s="20" t="str">
        <f t="shared" si="20"/>
        <v/>
      </c>
    </row>
    <row r="269" spans="1:19" x14ac:dyDescent="0.3">
      <c r="A269" s="23" t="s">
        <v>992</v>
      </c>
      <c r="B269" s="23" t="s">
        <v>993</v>
      </c>
      <c r="C269" s="24" t="s">
        <v>23</v>
      </c>
      <c r="D269" s="24" t="s">
        <v>23</v>
      </c>
      <c r="E269" s="24" t="s">
        <v>23</v>
      </c>
      <c r="F269" s="24" t="s">
        <v>23</v>
      </c>
      <c r="G269" s="24" t="s">
        <v>23</v>
      </c>
      <c r="H269" s="24">
        <v>17</v>
      </c>
      <c r="I269" s="24">
        <v>97.8</v>
      </c>
      <c r="J269" s="25">
        <v>0</v>
      </c>
      <c r="K269" s="25">
        <v>0</v>
      </c>
      <c r="L269" s="25">
        <v>0</v>
      </c>
      <c r="M269" s="18">
        <f t="shared" si="22"/>
        <v>267.5</v>
      </c>
      <c r="N269" s="19">
        <f t="shared" si="23"/>
        <v>45484</v>
      </c>
      <c r="O269" s="18" t="b">
        <f t="shared" si="21"/>
        <v>0</v>
      </c>
      <c r="P269" s="43" t="str">
        <f>IF(O269,swap_curve!$B$19,"")</f>
        <v/>
      </c>
      <c r="Q269" t="str">
        <f t="shared" si="24"/>
        <v/>
      </c>
      <c r="R269" t="str" cm="1">
        <f t="array" ref="R269">IF(O269,BSCall(swap_curve!$B$20,imvol!M269,imvol!P269,imvol!Q269,YEARFRAC(swap_curve!$C$1,imvol!N269)),"")</f>
        <v/>
      </c>
      <c r="S269" s="20" t="str">
        <f t="shared" si="20"/>
        <v/>
      </c>
    </row>
    <row r="270" spans="1:19" x14ac:dyDescent="0.3">
      <c r="A270" s="23" t="s">
        <v>994</v>
      </c>
      <c r="B270" s="23" t="s">
        <v>995</v>
      </c>
      <c r="C270" s="24" t="s">
        <v>23</v>
      </c>
      <c r="D270" s="24" t="s">
        <v>23</v>
      </c>
      <c r="E270" s="24" t="s">
        <v>23</v>
      </c>
      <c r="F270" s="24" t="s">
        <v>23</v>
      </c>
      <c r="G270" s="24" t="s">
        <v>23</v>
      </c>
      <c r="H270" s="24">
        <v>17</v>
      </c>
      <c r="I270" s="24">
        <v>95.3</v>
      </c>
      <c r="J270" s="25">
        <v>0</v>
      </c>
      <c r="K270" s="25">
        <v>0</v>
      </c>
      <c r="L270" s="25">
        <v>0</v>
      </c>
      <c r="M270" s="18">
        <f t="shared" si="22"/>
        <v>270</v>
      </c>
      <c r="N270" s="19">
        <f t="shared" si="23"/>
        <v>45484</v>
      </c>
      <c r="O270" s="18" t="b">
        <f t="shared" si="21"/>
        <v>0</v>
      </c>
      <c r="P270" s="43" t="str">
        <f>IF(O270,swap_curve!$B$19,"")</f>
        <v/>
      </c>
      <c r="Q270" t="str">
        <f t="shared" si="24"/>
        <v/>
      </c>
      <c r="R270" t="str" cm="1">
        <f t="array" ref="R270">IF(O270,BSCall(swap_curve!$B$20,imvol!M270,imvol!P270,imvol!Q270,YEARFRAC(swap_curve!$C$1,imvol!N270)),"")</f>
        <v/>
      </c>
      <c r="S270" s="20" t="str">
        <f t="shared" si="20"/>
        <v/>
      </c>
    </row>
    <row r="271" spans="1:19" x14ac:dyDescent="0.3">
      <c r="A271" s="23" t="s">
        <v>996</v>
      </c>
      <c r="B271" s="23" t="s">
        <v>997</v>
      </c>
      <c r="C271" s="24" t="s">
        <v>23</v>
      </c>
      <c r="D271" s="24" t="s">
        <v>23</v>
      </c>
      <c r="E271" s="24" t="s">
        <v>23</v>
      </c>
      <c r="F271" s="24" t="s">
        <v>23</v>
      </c>
      <c r="G271" s="24" t="s">
        <v>23</v>
      </c>
      <c r="H271" s="24">
        <v>17</v>
      </c>
      <c r="I271" s="24">
        <v>92.85</v>
      </c>
      <c r="J271" s="25">
        <v>0</v>
      </c>
      <c r="K271" s="25">
        <v>0</v>
      </c>
      <c r="L271" s="25">
        <v>0</v>
      </c>
      <c r="M271" s="18">
        <f t="shared" si="22"/>
        <v>272.5</v>
      </c>
      <c r="N271" s="19">
        <f t="shared" si="23"/>
        <v>45484</v>
      </c>
      <c r="O271" s="18" t="b">
        <f t="shared" si="21"/>
        <v>0</v>
      </c>
      <c r="P271" s="43" t="str">
        <f>IF(O271,swap_curve!$B$19,"")</f>
        <v/>
      </c>
      <c r="Q271" t="str">
        <f t="shared" si="24"/>
        <v/>
      </c>
      <c r="R271" t="str" cm="1">
        <f t="array" ref="R271">IF(O271,BSCall(swap_curve!$B$20,imvol!M271,imvol!P271,imvol!Q271,YEARFRAC(swap_curve!$C$1,imvol!N271)),"")</f>
        <v/>
      </c>
      <c r="S271" s="20" t="str">
        <f t="shared" si="20"/>
        <v/>
      </c>
    </row>
    <row r="272" spans="1:19" x14ac:dyDescent="0.3">
      <c r="A272" s="23" t="s">
        <v>998</v>
      </c>
      <c r="B272" s="23" t="s">
        <v>999</v>
      </c>
      <c r="C272" s="24" t="s">
        <v>23</v>
      </c>
      <c r="D272" s="24" t="s">
        <v>23</v>
      </c>
      <c r="E272" s="24" t="s">
        <v>23</v>
      </c>
      <c r="F272" s="24" t="s">
        <v>23</v>
      </c>
      <c r="G272" s="24" t="s">
        <v>23</v>
      </c>
      <c r="H272" s="24">
        <v>17</v>
      </c>
      <c r="I272" s="24">
        <v>90.35</v>
      </c>
      <c r="J272" s="25">
        <v>0</v>
      </c>
      <c r="K272" s="25">
        <v>0</v>
      </c>
      <c r="L272" s="25">
        <v>0</v>
      </c>
      <c r="M272" s="18">
        <f t="shared" si="22"/>
        <v>275</v>
      </c>
      <c r="N272" s="19">
        <f t="shared" si="23"/>
        <v>45484</v>
      </c>
      <c r="O272" s="18" t="b">
        <f t="shared" si="21"/>
        <v>0</v>
      </c>
      <c r="P272" s="43" t="str">
        <f>IF(O272,swap_curve!$B$19,"")</f>
        <v/>
      </c>
      <c r="Q272" t="str">
        <f t="shared" si="24"/>
        <v/>
      </c>
      <c r="R272" t="str" cm="1">
        <f t="array" ref="R272">IF(O272,BSCall(swap_curve!$B$20,imvol!M272,imvol!P272,imvol!Q272,YEARFRAC(swap_curve!$C$1,imvol!N272)),"")</f>
        <v/>
      </c>
      <c r="S272" s="20" t="str">
        <f t="shared" si="20"/>
        <v/>
      </c>
    </row>
    <row r="273" spans="1:19" x14ac:dyDescent="0.3">
      <c r="A273" s="23" t="s">
        <v>1000</v>
      </c>
      <c r="B273" s="23" t="s">
        <v>1001</v>
      </c>
      <c r="C273" s="24" t="s">
        <v>23</v>
      </c>
      <c r="D273" s="24" t="s">
        <v>23</v>
      </c>
      <c r="E273" s="24" t="s">
        <v>23</v>
      </c>
      <c r="F273" s="24" t="s">
        <v>23</v>
      </c>
      <c r="G273" s="24" t="s">
        <v>23</v>
      </c>
      <c r="H273" s="24">
        <v>17</v>
      </c>
      <c r="I273" s="24">
        <v>87.85</v>
      </c>
      <c r="J273" s="25">
        <v>0</v>
      </c>
      <c r="K273" s="25">
        <v>0</v>
      </c>
      <c r="L273" s="25">
        <v>0</v>
      </c>
      <c r="M273" s="18">
        <f t="shared" si="22"/>
        <v>277.5</v>
      </c>
      <c r="N273" s="19">
        <f t="shared" si="23"/>
        <v>45484</v>
      </c>
      <c r="O273" s="18" t="b">
        <f t="shared" si="21"/>
        <v>0</v>
      </c>
      <c r="P273" s="43" t="str">
        <f>IF(O273,swap_curve!$B$19,"")</f>
        <v/>
      </c>
      <c r="Q273" t="str">
        <f t="shared" si="24"/>
        <v/>
      </c>
      <c r="R273" t="str" cm="1">
        <f t="array" ref="R273">IF(O273,BSCall(swap_curve!$B$20,imvol!M273,imvol!P273,imvol!Q273,YEARFRAC(swap_curve!$C$1,imvol!N273)),"")</f>
        <v/>
      </c>
      <c r="S273" s="20" t="str">
        <f t="shared" si="20"/>
        <v/>
      </c>
    </row>
    <row r="274" spans="1:19" x14ac:dyDescent="0.3">
      <c r="A274" s="23" t="s">
        <v>1002</v>
      </c>
      <c r="B274" s="23" t="s">
        <v>1003</v>
      </c>
      <c r="C274" s="24" t="s">
        <v>23</v>
      </c>
      <c r="D274" s="24" t="s">
        <v>23</v>
      </c>
      <c r="E274" s="24" t="s">
        <v>23</v>
      </c>
      <c r="F274" s="24" t="s">
        <v>23</v>
      </c>
      <c r="G274" s="24" t="s">
        <v>23</v>
      </c>
      <c r="H274" s="24">
        <v>17</v>
      </c>
      <c r="I274" s="24">
        <v>85.4</v>
      </c>
      <c r="J274" s="25">
        <v>0</v>
      </c>
      <c r="K274" s="25">
        <v>0</v>
      </c>
      <c r="L274" s="25">
        <v>0</v>
      </c>
      <c r="M274" s="18">
        <f t="shared" si="22"/>
        <v>280</v>
      </c>
      <c r="N274" s="19">
        <f t="shared" si="23"/>
        <v>45484</v>
      </c>
      <c r="O274" s="18" t="b">
        <f t="shared" si="21"/>
        <v>0</v>
      </c>
      <c r="P274" s="43" t="str">
        <f>IF(O274,swap_curve!$B$19,"")</f>
        <v/>
      </c>
      <c r="Q274" t="str">
        <f t="shared" si="24"/>
        <v/>
      </c>
      <c r="R274" t="str" cm="1">
        <f t="array" ref="R274">IF(O274,BSCall(swap_curve!$B$20,imvol!M274,imvol!P274,imvol!Q274,YEARFRAC(swap_curve!$C$1,imvol!N274)),"")</f>
        <v/>
      </c>
      <c r="S274" s="20" t="str">
        <f t="shared" si="20"/>
        <v/>
      </c>
    </row>
    <row r="275" spans="1:19" x14ac:dyDescent="0.3">
      <c r="A275" s="23" t="s">
        <v>1004</v>
      </c>
      <c r="B275" s="23" t="s">
        <v>1005</v>
      </c>
      <c r="C275" s="24" t="s">
        <v>23</v>
      </c>
      <c r="D275" s="24" t="s">
        <v>23</v>
      </c>
      <c r="E275" s="24" t="s">
        <v>23</v>
      </c>
      <c r="F275" s="24" t="s">
        <v>23</v>
      </c>
      <c r="G275" s="24" t="s">
        <v>23</v>
      </c>
      <c r="H275" s="24">
        <v>17</v>
      </c>
      <c r="I275" s="24">
        <v>82.9</v>
      </c>
      <c r="J275" s="25">
        <v>0</v>
      </c>
      <c r="K275" s="25">
        <v>0</v>
      </c>
      <c r="L275" s="25">
        <v>0</v>
      </c>
      <c r="M275" s="18">
        <f t="shared" si="22"/>
        <v>282.5</v>
      </c>
      <c r="N275" s="19">
        <f t="shared" si="23"/>
        <v>45484</v>
      </c>
      <c r="O275" s="18" t="b">
        <f t="shared" si="21"/>
        <v>0</v>
      </c>
      <c r="P275" s="43" t="str">
        <f>IF(O275,swap_curve!$B$19,"")</f>
        <v/>
      </c>
      <c r="Q275" t="str">
        <f t="shared" si="24"/>
        <v/>
      </c>
      <c r="R275" t="str" cm="1">
        <f t="array" ref="R275">IF(O275,BSCall(swap_curve!$B$20,imvol!M275,imvol!P275,imvol!Q275,YEARFRAC(swap_curve!$C$1,imvol!N275)),"")</f>
        <v/>
      </c>
      <c r="S275" s="20" t="str">
        <f t="shared" si="20"/>
        <v/>
      </c>
    </row>
    <row r="276" spans="1:19" x14ac:dyDescent="0.3">
      <c r="A276" s="23" t="s">
        <v>1006</v>
      </c>
      <c r="B276" s="23" t="s">
        <v>1007</v>
      </c>
      <c r="C276" s="24" t="s">
        <v>23</v>
      </c>
      <c r="D276" s="24" t="s">
        <v>23</v>
      </c>
      <c r="E276" s="24" t="s">
        <v>23</v>
      </c>
      <c r="F276" s="24" t="s">
        <v>23</v>
      </c>
      <c r="G276" s="24" t="s">
        <v>23</v>
      </c>
      <c r="H276" s="24">
        <v>17</v>
      </c>
      <c r="I276" s="24">
        <v>80.45</v>
      </c>
      <c r="J276" s="25">
        <v>0</v>
      </c>
      <c r="K276" s="25">
        <v>0</v>
      </c>
      <c r="L276" s="25">
        <v>0</v>
      </c>
      <c r="M276" s="18">
        <f t="shared" si="22"/>
        <v>285</v>
      </c>
      <c r="N276" s="19">
        <f t="shared" si="23"/>
        <v>45484</v>
      </c>
      <c r="O276" s="18" t="b">
        <f t="shared" si="21"/>
        <v>0</v>
      </c>
      <c r="P276" s="43" t="str">
        <f>IF(O276,swap_curve!$B$19,"")</f>
        <v/>
      </c>
      <c r="Q276" t="str">
        <f t="shared" si="24"/>
        <v/>
      </c>
      <c r="R276" t="str" cm="1">
        <f t="array" ref="R276">IF(O276,BSCall(swap_curve!$B$20,imvol!M276,imvol!P276,imvol!Q276,YEARFRAC(swap_curve!$C$1,imvol!N276)),"")</f>
        <v/>
      </c>
      <c r="S276" s="20" t="str">
        <f t="shared" si="20"/>
        <v/>
      </c>
    </row>
    <row r="277" spans="1:19" x14ac:dyDescent="0.3">
      <c r="A277" s="23" t="s">
        <v>1008</v>
      </c>
      <c r="B277" s="23" t="s">
        <v>1009</v>
      </c>
      <c r="C277" s="24" t="s">
        <v>23</v>
      </c>
      <c r="D277" s="24" t="s">
        <v>23</v>
      </c>
      <c r="E277" s="24" t="s">
        <v>23</v>
      </c>
      <c r="F277" s="24" t="s">
        <v>23</v>
      </c>
      <c r="G277" s="24" t="s">
        <v>23</v>
      </c>
      <c r="H277" s="24">
        <v>17</v>
      </c>
      <c r="I277" s="24">
        <v>77.95</v>
      </c>
      <c r="J277" s="25">
        <v>0</v>
      </c>
      <c r="K277" s="25">
        <v>0</v>
      </c>
      <c r="L277" s="25">
        <v>0</v>
      </c>
      <c r="M277" s="18">
        <f t="shared" si="22"/>
        <v>287.5</v>
      </c>
      <c r="N277" s="19">
        <f t="shared" si="23"/>
        <v>45484</v>
      </c>
      <c r="O277" s="18" t="b">
        <f t="shared" si="21"/>
        <v>0</v>
      </c>
      <c r="P277" s="43" t="str">
        <f>IF(O277,swap_curve!$B$19,"")</f>
        <v/>
      </c>
      <c r="Q277" t="str">
        <f t="shared" si="24"/>
        <v/>
      </c>
      <c r="R277" t="str" cm="1">
        <f t="array" ref="R277">IF(O277,BSCall(swap_curve!$B$20,imvol!M277,imvol!P277,imvol!Q277,YEARFRAC(swap_curve!$C$1,imvol!N277)),"")</f>
        <v/>
      </c>
      <c r="S277" s="20" t="str">
        <f t="shared" si="20"/>
        <v/>
      </c>
    </row>
    <row r="278" spans="1:19" x14ac:dyDescent="0.3">
      <c r="A278" s="23" t="s">
        <v>1010</v>
      </c>
      <c r="B278" s="23" t="s">
        <v>1011</v>
      </c>
      <c r="C278" s="24" t="s">
        <v>23</v>
      </c>
      <c r="D278" s="24" t="s">
        <v>23</v>
      </c>
      <c r="E278" s="24" t="s">
        <v>23</v>
      </c>
      <c r="F278" s="24" t="s">
        <v>23</v>
      </c>
      <c r="G278" s="24" t="s">
        <v>23</v>
      </c>
      <c r="H278" s="24">
        <v>17</v>
      </c>
      <c r="I278" s="24">
        <v>75.45</v>
      </c>
      <c r="J278" s="25">
        <v>0</v>
      </c>
      <c r="K278" s="25">
        <v>0</v>
      </c>
      <c r="L278" s="25">
        <v>0</v>
      </c>
      <c r="M278" s="18">
        <f t="shared" si="22"/>
        <v>290</v>
      </c>
      <c r="N278" s="19">
        <f t="shared" si="23"/>
        <v>45484</v>
      </c>
      <c r="O278" s="18" t="b">
        <f t="shared" si="21"/>
        <v>0</v>
      </c>
      <c r="P278" s="43" t="str">
        <f>IF(O278,swap_curve!$B$19,"")</f>
        <v/>
      </c>
      <c r="Q278" t="str">
        <f t="shared" si="24"/>
        <v/>
      </c>
      <c r="R278" t="str" cm="1">
        <f t="array" ref="R278">IF(O278,BSCall(swap_curve!$B$20,imvol!M278,imvol!P278,imvol!Q278,YEARFRAC(swap_curve!$C$1,imvol!N278)),"")</f>
        <v/>
      </c>
      <c r="S278" s="20" t="str">
        <f t="shared" si="20"/>
        <v/>
      </c>
    </row>
    <row r="279" spans="1:19" x14ac:dyDescent="0.3">
      <c r="A279" s="23" t="s">
        <v>1012</v>
      </c>
      <c r="B279" s="23" t="s">
        <v>1013</v>
      </c>
      <c r="C279" s="24" t="s">
        <v>23</v>
      </c>
      <c r="D279" s="24" t="s">
        <v>23</v>
      </c>
      <c r="E279" s="24" t="s">
        <v>23</v>
      </c>
      <c r="F279" s="24" t="s">
        <v>23</v>
      </c>
      <c r="G279" s="24" t="s">
        <v>23</v>
      </c>
      <c r="H279" s="24">
        <v>17</v>
      </c>
      <c r="I279" s="24">
        <v>73</v>
      </c>
      <c r="J279" s="25">
        <v>0</v>
      </c>
      <c r="K279" s="25">
        <v>0</v>
      </c>
      <c r="L279" s="25">
        <v>0</v>
      </c>
      <c r="M279" s="18">
        <f t="shared" si="22"/>
        <v>292.5</v>
      </c>
      <c r="N279" s="19">
        <f t="shared" si="23"/>
        <v>45484</v>
      </c>
      <c r="O279" s="18" t="b">
        <f t="shared" si="21"/>
        <v>0</v>
      </c>
      <c r="P279" s="43" t="str">
        <f>IF(O279,swap_curve!$B$19,"")</f>
        <v/>
      </c>
      <c r="Q279" t="str">
        <f t="shared" si="24"/>
        <v/>
      </c>
      <c r="R279" t="str" cm="1">
        <f t="array" ref="R279">IF(O279,BSCall(swap_curve!$B$20,imvol!M279,imvol!P279,imvol!Q279,YEARFRAC(swap_curve!$C$1,imvol!N279)),"")</f>
        <v/>
      </c>
      <c r="S279" s="20" t="str">
        <f t="shared" si="20"/>
        <v/>
      </c>
    </row>
    <row r="280" spans="1:19" x14ac:dyDescent="0.3">
      <c r="A280" s="23" t="s">
        <v>1014</v>
      </c>
      <c r="B280" s="23" t="s">
        <v>1015</v>
      </c>
      <c r="C280" s="24" t="s">
        <v>23</v>
      </c>
      <c r="D280" s="24" t="s">
        <v>23</v>
      </c>
      <c r="E280" s="24" t="s">
        <v>23</v>
      </c>
      <c r="F280" s="24" t="s">
        <v>23</v>
      </c>
      <c r="G280" s="24" t="s">
        <v>23</v>
      </c>
      <c r="H280" s="24">
        <v>17</v>
      </c>
      <c r="I280" s="24">
        <v>70.5</v>
      </c>
      <c r="J280" s="25">
        <v>0</v>
      </c>
      <c r="K280" s="25">
        <v>0</v>
      </c>
      <c r="L280" s="25">
        <v>0</v>
      </c>
      <c r="M280" s="18">
        <f t="shared" si="22"/>
        <v>295</v>
      </c>
      <c r="N280" s="19">
        <f t="shared" si="23"/>
        <v>45484</v>
      </c>
      <c r="O280" s="18" t="b">
        <f t="shared" si="21"/>
        <v>0</v>
      </c>
      <c r="P280" s="43" t="str">
        <f>IF(O280,swap_curve!$B$19,"")</f>
        <v/>
      </c>
      <c r="Q280" t="str">
        <f t="shared" si="24"/>
        <v/>
      </c>
      <c r="R280" t="str" cm="1">
        <f t="array" ref="R280">IF(O280,BSCall(swap_curve!$B$20,imvol!M280,imvol!P280,imvol!Q280,YEARFRAC(swap_curve!$C$1,imvol!N280)),"")</f>
        <v/>
      </c>
      <c r="S280" s="20" t="str">
        <f t="shared" si="20"/>
        <v/>
      </c>
    </row>
    <row r="281" spans="1:19" x14ac:dyDescent="0.3">
      <c r="A281" s="23" t="s">
        <v>1016</v>
      </c>
      <c r="B281" s="23" t="s">
        <v>1017</v>
      </c>
      <c r="C281" s="24" t="s">
        <v>23</v>
      </c>
      <c r="D281" s="24" t="s">
        <v>23</v>
      </c>
      <c r="E281" s="24" t="s">
        <v>23</v>
      </c>
      <c r="F281" s="24" t="s">
        <v>23</v>
      </c>
      <c r="G281" s="24" t="s">
        <v>23</v>
      </c>
      <c r="H281" s="24">
        <v>17</v>
      </c>
      <c r="I281" s="24">
        <v>68.05</v>
      </c>
      <c r="J281" s="25">
        <v>0</v>
      </c>
      <c r="K281" s="25">
        <v>0</v>
      </c>
      <c r="L281" s="25">
        <v>0</v>
      </c>
      <c r="M281" s="18">
        <f t="shared" si="22"/>
        <v>297.5</v>
      </c>
      <c r="N281" s="19">
        <f t="shared" si="23"/>
        <v>45484</v>
      </c>
      <c r="O281" s="18" t="b">
        <f t="shared" si="21"/>
        <v>0</v>
      </c>
      <c r="P281" s="43" t="str">
        <f>IF(O281,swap_curve!$B$19,"")</f>
        <v/>
      </c>
      <c r="Q281" t="str">
        <f t="shared" si="24"/>
        <v/>
      </c>
      <c r="R281" t="str" cm="1">
        <f t="array" ref="R281">IF(O281,BSCall(swap_curve!$B$20,imvol!M281,imvol!P281,imvol!Q281,YEARFRAC(swap_curve!$C$1,imvol!N281)),"")</f>
        <v/>
      </c>
      <c r="S281" s="20" t="str">
        <f t="shared" si="20"/>
        <v/>
      </c>
    </row>
    <row r="282" spans="1:19" x14ac:dyDescent="0.3">
      <c r="A282" s="23" t="s">
        <v>1018</v>
      </c>
      <c r="B282" s="23" t="s">
        <v>1019</v>
      </c>
      <c r="C282" s="24" t="s">
        <v>23</v>
      </c>
      <c r="D282" s="24" t="s">
        <v>23</v>
      </c>
      <c r="E282" s="24" t="s">
        <v>23</v>
      </c>
      <c r="F282" s="24" t="s">
        <v>23</v>
      </c>
      <c r="G282" s="24" t="s">
        <v>23</v>
      </c>
      <c r="H282" s="24">
        <v>17</v>
      </c>
      <c r="I282" s="24">
        <v>65.55</v>
      </c>
      <c r="J282" s="25">
        <v>0</v>
      </c>
      <c r="K282" s="25">
        <v>0</v>
      </c>
      <c r="L282" s="25">
        <v>0</v>
      </c>
      <c r="M282" s="18">
        <f t="shared" si="22"/>
        <v>300</v>
      </c>
      <c r="N282" s="19">
        <f t="shared" si="23"/>
        <v>45484</v>
      </c>
      <c r="O282" s="18" t="b">
        <f t="shared" si="21"/>
        <v>0</v>
      </c>
      <c r="P282" s="43" t="str">
        <f>IF(O282,swap_curve!$B$19,"")</f>
        <v/>
      </c>
      <c r="Q282" t="str">
        <f t="shared" si="24"/>
        <v/>
      </c>
      <c r="R282" t="str" cm="1">
        <f t="array" ref="R282">IF(O282,BSCall(swap_curve!$B$20,imvol!M282,imvol!P282,imvol!Q282,YEARFRAC(swap_curve!$C$1,imvol!N282)),"")</f>
        <v/>
      </c>
      <c r="S282" s="20" t="str">
        <f t="shared" si="20"/>
        <v/>
      </c>
    </row>
    <row r="283" spans="1:19" x14ac:dyDescent="0.3">
      <c r="A283" s="23" t="s">
        <v>1020</v>
      </c>
      <c r="B283" s="23" t="s">
        <v>1021</v>
      </c>
      <c r="C283" s="24" t="s">
        <v>23</v>
      </c>
      <c r="D283" s="24" t="s">
        <v>23</v>
      </c>
      <c r="E283" s="24" t="s">
        <v>23</v>
      </c>
      <c r="F283" s="24" t="s">
        <v>23</v>
      </c>
      <c r="G283" s="24" t="s">
        <v>23</v>
      </c>
      <c r="H283" s="24">
        <v>17</v>
      </c>
      <c r="I283" s="24">
        <v>63.1</v>
      </c>
      <c r="J283" s="25">
        <v>0</v>
      </c>
      <c r="K283" s="25">
        <v>0</v>
      </c>
      <c r="L283" s="25">
        <v>0</v>
      </c>
      <c r="M283" s="18">
        <f t="shared" si="22"/>
        <v>302.5</v>
      </c>
      <c r="N283" s="19">
        <f t="shared" si="23"/>
        <v>45484</v>
      </c>
      <c r="O283" s="18" t="b">
        <f t="shared" si="21"/>
        <v>0</v>
      </c>
      <c r="P283" s="43" t="str">
        <f>IF(O283,swap_curve!$B$19,"")</f>
        <v/>
      </c>
      <c r="Q283" t="str">
        <f t="shared" si="24"/>
        <v/>
      </c>
      <c r="R283" t="str" cm="1">
        <f t="array" ref="R283">IF(O283,BSCall(swap_curve!$B$20,imvol!M283,imvol!P283,imvol!Q283,YEARFRAC(swap_curve!$C$1,imvol!N283)),"")</f>
        <v/>
      </c>
      <c r="S283" s="20" t="str">
        <f t="shared" si="20"/>
        <v/>
      </c>
    </row>
    <row r="284" spans="1:19" x14ac:dyDescent="0.3">
      <c r="A284" s="23" t="s">
        <v>1022</v>
      </c>
      <c r="B284" s="23" t="s">
        <v>1023</v>
      </c>
      <c r="C284" s="24" t="s">
        <v>23</v>
      </c>
      <c r="D284" s="24" t="s">
        <v>23</v>
      </c>
      <c r="E284" s="24" t="s">
        <v>23</v>
      </c>
      <c r="F284" s="24" t="s">
        <v>23</v>
      </c>
      <c r="G284" s="24" t="s">
        <v>23</v>
      </c>
      <c r="H284" s="24">
        <v>17</v>
      </c>
      <c r="I284" s="24">
        <v>60.65</v>
      </c>
      <c r="J284" s="25">
        <v>0</v>
      </c>
      <c r="K284" s="25">
        <v>0</v>
      </c>
      <c r="L284" s="25">
        <v>0</v>
      </c>
      <c r="M284" s="18">
        <f t="shared" si="22"/>
        <v>305</v>
      </c>
      <c r="N284" s="19">
        <f t="shared" si="23"/>
        <v>45484</v>
      </c>
      <c r="O284" s="18" t="b">
        <f t="shared" si="21"/>
        <v>0</v>
      </c>
      <c r="P284" s="43" t="str">
        <f>IF(O284,swap_curve!$B$19,"")</f>
        <v/>
      </c>
      <c r="Q284" t="str">
        <f t="shared" si="24"/>
        <v/>
      </c>
      <c r="R284" t="str" cm="1">
        <f t="array" ref="R284">IF(O284,BSCall(swap_curve!$B$20,imvol!M284,imvol!P284,imvol!Q284,YEARFRAC(swap_curve!$C$1,imvol!N284)),"")</f>
        <v/>
      </c>
      <c r="S284" s="20" t="str">
        <f t="shared" si="20"/>
        <v/>
      </c>
    </row>
    <row r="285" spans="1:19" x14ac:dyDescent="0.3">
      <c r="A285" s="23" t="s">
        <v>1024</v>
      </c>
      <c r="B285" s="23" t="s">
        <v>1025</v>
      </c>
      <c r="C285" s="24" t="s">
        <v>23</v>
      </c>
      <c r="D285" s="24" t="s">
        <v>23</v>
      </c>
      <c r="E285" s="24" t="s">
        <v>23</v>
      </c>
      <c r="F285" s="24" t="s">
        <v>23</v>
      </c>
      <c r="G285" s="24" t="s">
        <v>23</v>
      </c>
      <c r="H285" s="24">
        <v>17</v>
      </c>
      <c r="I285" s="24">
        <v>58.2</v>
      </c>
      <c r="J285" s="25">
        <v>0</v>
      </c>
      <c r="K285" s="25">
        <v>0</v>
      </c>
      <c r="L285" s="25">
        <v>0</v>
      </c>
      <c r="M285" s="18">
        <f t="shared" si="22"/>
        <v>307.5</v>
      </c>
      <c r="N285" s="19">
        <f t="shared" si="23"/>
        <v>45484</v>
      </c>
      <c r="O285" s="18" t="b">
        <f t="shared" si="21"/>
        <v>0</v>
      </c>
      <c r="P285" s="43" t="str">
        <f>IF(O285,swap_curve!$B$19,"")</f>
        <v/>
      </c>
      <c r="Q285" t="str">
        <f t="shared" si="24"/>
        <v/>
      </c>
      <c r="R285" t="str" cm="1">
        <f t="array" ref="R285">IF(O285,BSCall(swap_curve!$B$20,imvol!M285,imvol!P285,imvol!Q285,YEARFRAC(swap_curve!$C$1,imvol!N285)),"")</f>
        <v/>
      </c>
      <c r="S285" s="20" t="str">
        <f t="shared" si="20"/>
        <v/>
      </c>
    </row>
    <row r="286" spans="1:19" x14ac:dyDescent="0.3">
      <c r="A286" s="23" t="s">
        <v>1026</v>
      </c>
      <c r="B286" s="23" t="s">
        <v>1027</v>
      </c>
      <c r="C286" s="24" t="s">
        <v>23</v>
      </c>
      <c r="D286" s="24" t="s">
        <v>23</v>
      </c>
      <c r="E286" s="24" t="s">
        <v>23</v>
      </c>
      <c r="F286" s="24" t="s">
        <v>23</v>
      </c>
      <c r="G286" s="24" t="s">
        <v>23</v>
      </c>
      <c r="H286" s="24">
        <v>17</v>
      </c>
      <c r="I286" s="24">
        <v>55.75</v>
      </c>
      <c r="J286" s="25">
        <v>0</v>
      </c>
      <c r="K286" s="25">
        <v>0</v>
      </c>
      <c r="L286" s="25">
        <v>0</v>
      </c>
      <c r="M286" s="18">
        <f t="shared" si="22"/>
        <v>310</v>
      </c>
      <c r="N286" s="19">
        <f t="shared" si="23"/>
        <v>45484</v>
      </c>
      <c r="O286" s="18" t="b">
        <f t="shared" si="21"/>
        <v>0</v>
      </c>
      <c r="P286" s="43" t="str">
        <f>IF(O286,swap_curve!$B$19,"")</f>
        <v/>
      </c>
      <c r="Q286" t="str">
        <f t="shared" si="24"/>
        <v/>
      </c>
      <c r="R286" t="str" cm="1">
        <f t="array" ref="R286">IF(O286,BSCall(swap_curve!$B$20,imvol!M286,imvol!P286,imvol!Q286,YEARFRAC(swap_curve!$C$1,imvol!N286)),"")</f>
        <v/>
      </c>
      <c r="S286" s="20" t="str">
        <f t="shared" si="20"/>
        <v/>
      </c>
    </row>
    <row r="287" spans="1:19" x14ac:dyDescent="0.3">
      <c r="A287" s="23" t="s">
        <v>1028</v>
      </c>
      <c r="B287" s="23" t="s">
        <v>1029</v>
      </c>
      <c r="C287" s="24" t="s">
        <v>23</v>
      </c>
      <c r="D287" s="24" t="s">
        <v>23</v>
      </c>
      <c r="E287" s="24" t="s">
        <v>23</v>
      </c>
      <c r="F287" s="24" t="s">
        <v>23</v>
      </c>
      <c r="G287" s="24" t="s">
        <v>23</v>
      </c>
      <c r="H287" s="24">
        <v>17</v>
      </c>
      <c r="I287" s="24">
        <v>53.3</v>
      </c>
      <c r="J287" s="25">
        <v>0</v>
      </c>
      <c r="K287" s="25">
        <v>0</v>
      </c>
      <c r="L287" s="25">
        <v>0</v>
      </c>
      <c r="M287" s="18">
        <f t="shared" si="22"/>
        <v>312.5</v>
      </c>
      <c r="N287" s="19">
        <f t="shared" si="23"/>
        <v>45484</v>
      </c>
      <c r="O287" s="18" t="b">
        <f t="shared" si="21"/>
        <v>0</v>
      </c>
      <c r="P287" s="43" t="str">
        <f>IF(O287,swap_curve!$B$19,"")</f>
        <v/>
      </c>
      <c r="Q287" t="str">
        <f t="shared" si="24"/>
        <v/>
      </c>
      <c r="R287" t="str" cm="1">
        <f t="array" ref="R287">IF(O287,BSCall(swap_curve!$B$20,imvol!M287,imvol!P287,imvol!Q287,YEARFRAC(swap_curve!$C$1,imvol!N287)),"")</f>
        <v/>
      </c>
      <c r="S287" s="20" t="str">
        <f t="shared" si="20"/>
        <v/>
      </c>
    </row>
    <row r="288" spans="1:19" x14ac:dyDescent="0.3">
      <c r="A288" s="23" t="s">
        <v>1030</v>
      </c>
      <c r="B288" s="23" t="s">
        <v>1031</v>
      </c>
      <c r="C288" s="24" t="s">
        <v>23</v>
      </c>
      <c r="D288" s="24" t="s">
        <v>23</v>
      </c>
      <c r="E288" s="24" t="s">
        <v>23</v>
      </c>
      <c r="F288" s="24" t="s">
        <v>23</v>
      </c>
      <c r="G288" s="24" t="s">
        <v>23</v>
      </c>
      <c r="H288" s="24">
        <v>17</v>
      </c>
      <c r="I288" s="24">
        <v>50.85</v>
      </c>
      <c r="J288" s="25">
        <v>0</v>
      </c>
      <c r="K288" s="25">
        <v>0</v>
      </c>
      <c r="L288" s="25">
        <v>0</v>
      </c>
      <c r="M288" s="18">
        <f t="shared" si="22"/>
        <v>315</v>
      </c>
      <c r="N288" s="19">
        <f t="shared" si="23"/>
        <v>45484</v>
      </c>
      <c r="O288" s="18" t="b">
        <f t="shared" si="21"/>
        <v>0</v>
      </c>
      <c r="P288" s="43" t="str">
        <f>IF(O288,swap_curve!$B$19,"")</f>
        <v/>
      </c>
      <c r="Q288" t="str">
        <f t="shared" si="24"/>
        <v/>
      </c>
      <c r="R288" t="str" cm="1">
        <f t="array" ref="R288">IF(O288,BSCall(swap_curve!$B$20,imvol!M288,imvol!P288,imvol!Q288,YEARFRAC(swap_curve!$C$1,imvol!N288)),"")</f>
        <v/>
      </c>
      <c r="S288" s="20" t="str">
        <f t="shared" si="20"/>
        <v/>
      </c>
    </row>
    <row r="289" spans="1:19" x14ac:dyDescent="0.3">
      <c r="A289" s="23" t="s">
        <v>1032</v>
      </c>
      <c r="B289" s="23" t="s">
        <v>1033</v>
      </c>
      <c r="C289" s="24" t="s">
        <v>23</v>
      </c>
      <c r="D289" s="24" t="s">
        <v>23</v>
      </c>
      <c r="E289" s="24" t="s">
        <v>23</v>
      </c>
      <c r="F289" s="24" t="s">
        <v>23</v>
      </c>
      <c r="G289" s="24" t="s">
        <v>23</v>
      </c>
      <c r="H289" s="24">
        <v>17</v>
      </c>
      <c r="I289" s="24">
        <v>48.45</v>
      </c>
      <c r="J289" s="25">
        <v>0</v>
      </c>
      <c r="K289" s="25">
        <v>0</v>
      </c>
      <c r="L289" s="25">
        <v>0</v>
      </c>
      <c r="M289" s="18">
        <f t="shared" si="22"/>
        <v>317.5</v>
      </c>
      <c r="N289" s="19">
        <f t="shared" si="23"/>
        <v>45484</v>
      </c>
      <c r="O289" s="18" t="b">
        <f t="shared" si="21"/>
        <v>0</v>
      </c>
      <c r="P289" s="43" t="str">
        <f>IF(O289,swap_curve!$B$19,"")</f>
        <v/>
      </c>
      <c r="Q289" t="str">
        <f t="shared" si="24"/>
        <v/>
      </c>
      <c r="R289" t="str" cm="1">
        <f t="array" ref="R289">IF(O289,BSCall(swap_curve!$B$20,imvol!M289,imvol!P289,imvol!Q289,YEARFRAC(swap_curve!$C$1,imvol!N289)),"")</f>
        <v/>
      </c>
      <c r="S289" s="20" t="str">
        <f t="shared" si="20"/>
        <v/>
      </c>
    </row>
    <row r="290" spans="1:19" x14ac:dyDescent="0.3">
      <c r="A290" s="23" t="s">
        <v>1034</v>
      </c>
      <c r="B290" s="23" t="s">
        <v>1035</v>
      </c>
      <c r="C290" s="24" t="s">
        <v>23</v>
      </c>
      <c r="D290" s="24" t="s">
        <v>23</v>
      </c>
      <c r="E290" s="24" t="s">
        <v>23</v>
      </c>
      <c r="F290" s="24" t="s">
        <v>23</v>
      </c>
      <c r="G290" s="24" t="s">
        <v>23</v>
      </c>
      <c r="H290" s="24">
        <v>17</v>
      </c>
      <c r="I290" s="24">
        <v>46.1</v>
      </c>
      <c r="J290" s="25">
        <v>0</v>
      </c>
      <c r="K290" s="25">
        <v>0</v>
      </c>
      <c r="L290" s="25">
        <v>0</v>
      </c>
      <c r="M290" s="18">
        <f t="shared" si="22"/>
        <v>320</v>
      </c>
      <c r="N290" s="19">
        <f t="shared" si="23"/>
        <v>45484</v>
      </c>
      <c r="O290" s="18" t="b">
        <f t="shared" si="21"/>
        <v>0</v>
      </c>
      <c r="P290" s="43" t="str">
        <f>IF(O290,swap_curve!$B$19,"")</f>
        <v/>
      </c>
      <c r="Q290" t="str">
        <f t="shared" si="24"/>
        <v/>
      </c>
      <c r="R290" t="str" cm="1">
        <f t="array" ref="R290">IF(O290,BSCall(swap_curve!$B$20,imvol!M290,imvol!P290,imvol!Q290,YEARFRAC(swap_curve!$C$1,imvol!N290)),"")</f>
        <v/>
      </c>
      <c r="S290" s="20" t="str">
        <f t="shared" si="20"/>
        <v/>
      </c>
    </row>
    <row r="291" spans="1:19" x14ac:dyDescent="0.3">
      <c r="A291" s="23" t="s">
        <v>1036</v>
      </c>
      <c r="B291" s="23" t="s">
        <v>1037</v>
      </c>
      <c r="C291" s="24" t="s">
        <v>23</v>
      </c>
      <c r="D291" s="24" t="s">
        <v>23</v>
      </c>
      <c r="E291" s="24" t="s">
        <v>23</v>
      </c>
      <c r="F291" s="24" t="s">
        <v>23</v>
      </c>
      <c r="G291" s="24" t="s">
        <v>23</v>
      </c>
      <c r="H291" s="24">
        <v>17</v>
      </c>
      <c r="I291" s="24">
        <v>43.7</v>
      </c>
      <c r="J291" s="25">
        <v>0</v>
      </c>
      <c r="K291" s="25">
        <v>0</v>
      </c>
      <c r="L291" s="25">
        <v>0</v>
      </c>
      <c r="M291" s="18">
        <f t="shared" si="22"/>
        <v>322.5</v>
      </c>
      <c r="N291" s="19">
        <f t="shared" si="23"/>
        <v>45484</v>
      </c>
      <c r="O291" s="18" t="b">
        <f t="shared" si="21"/>
        <v>0</v>
      </c>
      <c r="P291" s="43" t="str">
        <f>IF(O291,swap_curve!$B$19,"")</f>
        <v/>
      </c>
      <c r="Q291" t="str">
        <f t="shared" si="24"/>
        <v/>
      </c>
      <c r="R291" t="str" cm="1">
        <f t="array" ref="R291">IF(O291,BSCall(swap_curve!$B$20,imvol!M291,imvol!P291,imvol!Q291,YEARFRAC(swap_curve!$C$1,imvol!N291)),"")</f>
        <v/>
      </c>
      <c r="S291" s="20" t="str">
        <f t="shared" si="20"/>
        <v/>
      </c>
    </row>
    <row r="292" spans="1:19" x14ac:dyDescent="0.3">
      <c r="A292" s="23" t="s">
        <v>1038</v>
      </c>
      <c r="B292" s="23" t="s">
        <v>1039</v>
      </c>
      <c r="C292" s="24" t="s">
        <v>23</v>
      </c>
      <c r="D292" s="24" t="s">
        <v>23</v>
      </c>
      <c r="E292" s="24" t="s">
        <v>23</v>
      </c>
      <c r="F292" s="24" t="s">
        <v>23</v>
      </c>
      <c r="G292" s="24" t="s">
        <v>23</v>
      </c>
      <c r="H292" s="24">
        <v>17</v>
      </c>
      <c r="I292" s="24">
        <v>41.4</v>
      </c>
      <c r="J292" s="25">
        <v>0</v>
      </c>
      <c r="K292" s="25">
        <v>0</v>
      </c>
      <c r="L292" s="25">
        <v>0</v>
      </c>
      <c r="M292" s="18">
        <f t="shared" si="22"/>
        <v>325</v>
      </c>
      <c r="N292" s="19">
        <f t="shared" si="23"/>
        <v>45484</v>
      </c>
      <c r="O292" s="18" t="b">
        <f t="shared" si="21"/>
        <v>0</v>
      </c>
      <c r="P292" s="43" t="str">
        <f>IF(O292,swap_curve!$B$19,"")</f>
        <v/>
      </c>
      <c r="Q292" t="str">
        <f t="shared" si="24"/>
        <v/>
      </c>
      <c r="R292" t="str" cm="1">
        <f t="array" ref="R292">IF(O292,BSCall(swap_curve!$B$20,imvol!M292,imvol!P292,imvol!Q292,YEARFRAC(swap_curve!$C$1,imvol!N292)),"")</f>
        <v/>
      </c>
      <c r="S292" s="20" t="str">
        <f t="shared" si="20"/>
        <v/>
      </c>
    </row>
    <row r="293" spans="1:19" x14ac:dyDescent="0.3">
      <c r="A293" s="23" t="s">
        <v>1040</v>
      </c>
      <c r="B293" s="23" t="s">
        <v>1041</v>
      </c>
      <c r="C293" s="24" t="s">
        <v>23</v>
      </c>
      <c r="D293" s="24" t="s">
        <v>23</v>
      </c>
      <c r="E293" s="24" t="s">
        <v>23</v>
      </c>
      <c r="F293" s="24" t="s">
        <v>23</v>
      </c>
      <c r="G293" s="24" t="s">
        <v>23</v>
      </c>
      <c r="H293" s="24">
        <v>17</v>
      </c>
      <c r="I293" s="24">
        <v>39.049999999999997</v>
      </c>
      <c r="J293" s="25">
        <v>0</v>
      </c>
      <c r="K293" s="25">
        <v>0</v>
      </c>
      <c r="L293" s="25">
        <v>0</v>
      </c>
      <c r="M293" s="18">
        <f t="shared" si="22"/>
        <v>327.5</v>
      </c>
      <c r="N293" s="19">
        <f t="shared" si="23"/>
        <v>45484</v>
      </c>
      <c r="O293" s="18" t="b">
        <f t="shared" si="21"/>
        <v>0</v>
      </c>
      <c r="P293" s="43" t="str">
        <f>IF(O293,swap_curve!$B$19,"")</f>
        <v/>
      </c>
      <c r="Q293" t="str">
        <f t="shared" si="24"/>
        <v/>
      </c>
      <c r="R293" t="str" cm="1">
        <f t="array" ref="R293">IF(O293,BSCall(swap_curve!$B$20,imvol!M293,imvol!P293,imvol!Q293,YEARFRAC(swap_curve!$C$1,imvol!N293)),"")</f>
        <v/>
      </c>
      <c r="S293" s="20" t="str">
        <f t="shared" si="20"/>
        <v/>
      </c>
    </row>
    <row r="294" spans="1:19" x14ac:dyDescent="0.3">
      <c r="A294" s="23" t="s">
        <v>1042</v>
      </c>
      <c r="B294" s="23" t="s">
        <v>1043</v>
      </c>
      <c r="C294" s="24" t="s">
        <v>23</v>
      </c>
      <c r="D294" s="24" t="s">
        <v>23</v>
      </c>
      <c r="E294" s="24" t="s">
        <v>23</v>
      </c>
      <c r="F294" s="24" t="s">
        <v>23</v>
      </c>
      <c r="G294" s="24" t="s">
        <v>23</v>
      </c>
      <c r="H294" s="24">
        <v>17</v>
      </c>
      <c r="I294" s="24">
        <v>36.75</v>
      </c>
      <c r="J294" s="25">
        <v>0</v>
      </c>
      <c r="K294" s="25">
        <v>0</v>
      </c>
      <c r="L294" s="25">
        <v>0</v>
      </c>
      <c r="M294" s="18">
        <f t="shared" si="22"/>
        <v>330</v>
      </c>
      <c r="N294" s="19">
        <f t="shared" si="23"/>
        <v>45484</v>
      </c>
      <c r="O294" s="18" t="b">
        <f t="shared" si="21"/>
        <v>0</v>
      </c>
      <c r="P294" s="43" t="str">
        <f>IF(O294,swap_curve!$B$19,"")</f>
        <v/>
      </c>
      <c r="Q294" t="str">
        <f t="shared" si="24"/>
        <v/>
      </c>
      <c r="R294" t="str" cm="1">
        <f t="array" ref="R294">IF(O294,BSCall(swap_curve!$B$20,imvol!M294,imvol!P294,imvol!Q294,YEARFRAC(swap_curve!$C$1,imvol!N294)),"")</f>
        <v/>
      </c>
      <c r="S294" s="20" t="str">
        <f t="shared" si="20"/>
        <v/>
      </c>
    </row>
    <row r="295" spans="1:19" x14ac:dyDescent="0.3">
      <c r="A295" s="23" t="s">
        <v>1044</v>
      </c>
      <c r="B295" s="23" t="s">
        <v>1045</v>
      </c>
      <c r="C295" s="24" t="s">
        <v>23</v>
      </c>
      <c r="D295" s="24" t="s">
        <v>23</v>
      </c>
      <c r="E295" s="24" t="s">
        <v>23</v>
      </c>
      <c r="F295" s="24" t="s">
        <v>23</v>
      </c>
      <c r="G295" s="24" t="s">
        <v>23</v>
      </c>
      <c r="H295" s="24">
        <v>17</v>
      </c>
      <c r="I295" s="24">
        <v>34.6</v>
      </c>
      <c r="J295" s="25">
        <v>0</v>
      </c>
      <c r="K295" s="25">
        <v>0</v>
      </c>
      <c r="L295" s="25">
        <v>0</v>
      </c>
      <c r="M295" s="18">
        <f t="shared" si="22"/>
        <v>332.5</v>
      </c>
      <c r="N295" s="19">
        <f t="shared" si="23"/>
        <v>45484</v>
      </c>
      <c r="O295" s="18" t="b">
        <f t="shared" si="21"/>
        <v>0</v>
      </c>
      <c r="P295" s="43" t="str">
        <f>IF(O295,swap_curve!$B$19,"")</f>
        <v/>
      </c>
      <c r="Q295" t="str">
        <f t="shared" si="24"/>
        <v/>
      </c>
      <c r="R295" t="str" cm="1">
        <f t="array" ref="R295">IF(O295,BSCall(swap_curve!$B$20,imvol!M295,imvol!P295,imvol!Q295,YEARFRAC(swap_curve!$C$1,imvol!N295)),"")</f>
        <v/>
      </c>
      <c r="S295" s="20" t="str">
        <f t="shared" si="20"/>
        <v/>
      </c>
    </row>
    <row r="296" spans="1:19" x14ac:dyDescent="0.3">
      <c r="A296" s="23" t="s">
        <v>1046</v>
      </c>
      <c r="B296" s="23" t="s">
        <v>1047</v>
      </c>
      <c r="C296" s="24" t="s">
        <v>23</v>
      </c>
      <c r="D296" s="24" t="s">
        <v>23</v>
      </c>
      <c r="E296" s="24" t="s">
        <v>23</v>
      </c>
      <c r="F296" s="24" t="s">
        <v>23</v>
      </c>
      <c r="G296" s="24" t="s">
        <v>23</v>
      </c>
      <c r="H296" s="24">
        <v>17</v>
      </c>
      <c r="I296" s="24">
        <v>32.4</v>
      </c>
      <c r="J296" s="25">
        <v>0</v>
      </c>
      <c r="K296" s="25">
        <v>0</v>
      </c>
      <c r="L296" s="25">
        <v>0</v>
      </c>
      <c r="M296" s="18">
        <f t="shared" si="22"/>
        <v>335</v>
      </c>
      <c r="N296" s="19">
        <f t="shared" si="23"/>
        <v>45484</v>
      </c>
      <c r="O296" s="18" t="b">
        <f t="shared" si="21"/>
        <v>0</v>
      </c>
      <c r="P296" s="43" t="str">
        <f>IF(O296,swap_curve!$B$19,"")</f>
        <v/>
      </c>
      <c r="Q296" t="str">
        <f t="shared" si="24"/>
        <v/>
      </c>
      <c r="R296" t="str" cm="1">
        <f t="array" ref="R296">IF(O296,BSCall(swap_curve!$B$20,imvol!M296,imvol!P296,imvol!Q296,YEARFRAC(swap_curve!$C$1,imvol!N296)),"")</f>
        <v/>
      </c>
      <c r="S296" s="20" t="str">
        <f t="shared" si="20"/>
        <v/>
      </c>
    </row>
    <row r="297" spans="1:19" x14ac:dyDescent="0.3">
      <c r="A297" s="23" t="s">
        <v>1048</v>
      </c>
      <c r="B297" s="23" t="s">
        <v>1049</v>
      </c>
      <c r="C297" s="24" t="s">
        <v>23</v>
      </c>
      <c r="D297" s="24" t="s">
        <v>23</v>
      </c>
      <c r="E297" s="24" t="s">
        <v>23</v>
      </c>
      <c r="F297" s="24" t="s">
        <v>23</v>
      </c>
      <c r="G297" s="24" t="s">
        <v>23</v>
      </c>
      <c r="H297" s="24">
        <v>17</v>
      </c>
      <c r="I297" s="24">
        <v>30.25</v>
      </c>
      <c r="J297" s="25">
        <v>0</v>
      </c>
      <c r="K297" s="25">
        <v>0</v>
      </c>
      <c r="L297" s="25">
        <v>0</v>
      </c>
      <c r="M297" s="18">
        <f t="shared" si="22"/>
        <v>337.5</v>
      </c>
      <c r="N297" s="19">
        <f t="shared" si="23"/>
        <v>45484</v>
      </c>
      <c r="O297" s="18" t="b">
        <f t="shared" si="21"/>
        <v>0</v>
      </c>
      <c r="P297" s="43" t="str">
        <f>IF(O297,swap_curve!$B$19,"")</f>
        <v/>
      </c>
      <c r="Q297" t="str">
        <f t="shared" si="24"/>
        <v/>
      </c>
      <c r="R297" t="str" cm="1">
        <f t="array" ref="R297">IF(O297,BSCall(swap_curve!$B$20,imvol!M297,imvol!P297,imvol!Q297,YEARFRAC(swap_curve!$C$1,imvol!N297)),"")</f>
        <v/>
      </c>
      <c r="S297" s="20" t="str">
        <f t="shared" si="20"/>
        <v/>
      </c>
    </row>
    <row r="298" spans="1:19" x14ac:dyDescent="0.3">
      <c r="A298" s="23" t="s">
        <v>1050</v>
      </c>
      <c r="B298" s="23" t="s">
        <v>1051</v>
      </c>
      <c r="C298" s="24" t="s">
        <v>23</v>
      </c>
      <c r="D298" s="24" t="s">
        <v>23</v>
      </c>
      <c r="E298" s="24" t="s">
        <v>23</v>
      </c>
      <c r="F298" s="24" t="s">
        <v>23</v>
      </c>
      <c r="G298" s="24" t="s">
        <v>23</v>
      </c>
      <c r="H298" s="24">
        <v>17</v>
      </c>
      <c r="I298" s="24">
        <v>28.2</v>
      </c>
      <c r="J298" s="25">
        <v>0</v>
      </c>
      <c r="K298" s="25">
        <v>0</v>
      </c>
      <c r="L298" s="25">
        <v>0</v>
      </c>
      <c r="M298" s="18">
        <f t="shared" si="22"/>
        <v>340</v>
      </c>
      <c r="N298" s="19">
        <f t="shared" si="23"/>
        <v>45484</v>
      </c>
      <c r="O298" s="18" t="b">
        <f t="shared" si="21"/>
        <v>0</v>
      </c>
      <c r="P298" s="43" t="str">
        <f>IF(O298,swap_curve!$B$19,"")</f>
        <v/>
      </c>
      <c r="Q298" t="str">
        <f t="shared" si="24"/>
        <v/>
      </c>
      <c r="R298" t="str" cm="1">
        <f t="array" ref="R298">IF(O298,BSCall(swap_curve!$B$20,imvol!M298,imvol!P298,imvol!Q298,YEARFRAC(swap_curve!$C$1,imvol!N298)),"")</f>
        <v/>
      </c>
      <c r="S298" s="20" t="str">
        <f t="shared" si="20"/>
        <v/>
      </c>
    </row>
    <row r="299" spans="1:19" x14ac:dyDescent="0.3">
      <c r="A299" s="23" t="s">
        <v>1052</v>
      </c>
      <c r="B299" s="23" t="s">
        <v>1053</v>
      </c>
      <c r="C299" s="24" t="s">
        <v>23</v>
      </c>
      <c r="D299" s="24" t="s">
        <v>23</v>
      </c>
      <c r="E299" s="24" t="s">
        <v>23</v>
      </c>
      <c r="F299" s="24" t="s">
        <v>23</v>
      </c>
      <c r="G299" s="24" t="s">
        <v>23</v>
      </c>
      <c r="H299" s="24">
        <v>17</v>
      </c>
      <c r="I299" s="24">
        <v>26.15</v>
      </c>
      <c r="J299" s="25">
        <v>0</v>
      </c>
      <c r="K299" s="25">
        <v>0</v>
      </c>
      <c r="L299" s="25">
        <v>0</v>
      </c>
      <c r="M299" s="18">
        <f t="shared" si="22"/>
        <v>342.5</v>
      </c>
      <c r="N299" s="19">
        <f t="shared" si="23"/>
        <v>45484</v>
      </c>
      <c r="O299" s="18" t="b">
        <f t="shared" si="21"/>
        <v>0</v>
      </c>
      <c r="P299" s="43" t="str">
        <f>IF(O299,swap_curve!$B$19,"")</f>
        <v/>
      </c>
      <c r="Q299" t="str">
        <f t="shared" si="24"/>
        <v/>
      </c>
      <c r="R299" t="str" cm="1">
        <f t="array" ref="R299">IF(O299,BSCall(swap_curve!$B$20,imvol!M299,imvol!P299,imvol!Q299,YEARFRAC(swap_curve!$C$1,imvol!N299)),"")</f>
        <v/>
      </c>
      <c r="S299" s="20" t="str">
        <f t="shared" si="20"/>
        <v/>
      </c>
    </row>
    <row r="300" spans="1:19" x14ac:dyDescent="0.3">
      <c r="A300" s="23" t="s">
        <v>1054</v>
      </c>
      <c r="B300" s="23" t="s">
        <v>1055</v>
      </c>
      <c r="C300" s="24" t="s">
        <v>23</v>
      </c>
      <c r="D300" s="24" t="s">
        <v>23</v>
      </c>
      <c r="E300" s="24" t="s">
        <v>23</v>
      </c>
      <c r="F300" s="24" t="s">
        <v>23</v>
      </c>
      <c r="G300" s="24" t="s">
        <v>23</v>
      </c>
      <c r="H300" s="24">
        <v>17</v>
      </c>
      <c r="I300" s="24">
        <v>24.2</v>
      </c>
      <c r="J300" s="25">
        <v>0</v>
      </c>
      <c r="K300" s="25">
        <v>0</v>
      </c>
      <c r="L300" s="25">
        <v>0</v>
      </c>
      <c r="M300" s="18">
        <f t="shared" si="22"/>
        <v>345</v>
      </c>
      <c r="N300" s="19">
        <f t="shared" si="23"/>
        <v>45484</v>
      </c>
      <c r="O300" s="18" t="b">
        <f t="shared" si="21"/>
        <v>0</v>
      </c>
      <c r="P300" s="43" t="str">
        <f>IF(O300,swap_curve!$B$19,"")</f>
        <v/>
      </c>
      <c r="Q300" t="str">
        <f t="shared" si="24"/>
        <v/>
      </c>
      <c r="R300" t="str" cm="1">
        <f t="array" ref="R300">IF(O300,BSCall(swap_curve!$B$20,imvol!M300,imvol!P300,imvol!Q300,YEARFRAC(swap_curve!$C$1,imvol!N300)),"")</f>
        <v/>
      </c>
      <c r="S300" s="20" t="str">
        <f t="shared" si="20"/>
        <v/>
      </c>
    </row>
    <row r="301" spans="1:19" x14ac:dyDescent="0.3">
      <c r="A301" s="23" t="s">
        <v>1056</v>
      </c>
      <c r="B301" s="23" t="s">
        <v>1057</v>
      </c>
      <c r="C301" s="24" t="s">
        <v>23</v>
      </c>
      <c r="D301" s="24" t="s">
        <v>23</v>
      </c>
      <c r="E301" s="24" t="s">
        <v>23</v>
      </c>
      <c r="F301" s="24" t="s">
        <v>23</v>
      </c>
      <c r="G301" s="24" t="s">
        <v>23</v>
      </c>
      <c r="H301" s="24">
        <v>17</v>
      </c>
      <c r="I301" s="24">
        <v>22.35</v>
      </c>
      <c r="J301" s="25">
        <v>0</v>
      </c>
      <c r="K301" s="25">
        <v>0</v>
      </c>
      <c r="L301" s="25">
        <v>0</v>
      </c>
      <c r="M301" s="18">
        <f t="shared" si="22"/>
        <v>347.5</v>
      </c>
      <c r="N301" s="19">
        <f t="shared" si="23"/>
        <v>45484</v>
      </c>
      <c r="O301" s="18" t="b">
        <f t="shared" si="21"/>
        <v>0</v>
      </c>
      <c r="P301" s="43" t="str">
        <f>IF(O301,swap_curve!$B$19,"")</f>
        <v/>
      </c>
      <c r="Q301" t="str">
        <f t="shared" si="24"/>
        <v/>
      </c>
      <c r="R301" t="str" cm="1">
        <f t="array" ref="R301">IF(O301,BSCall(swap_curve!$B$20,imvol!M301,imvol!P301,imvol!Q301,YEARFRAC(swap_curve!$C$1,imvol!N301)),"")</f>
        <v/>
      </c>
      <c r="S301" s="20" t="str">
        <f t="shared" si="20"/>
        <v/>
      </c>
    </row>
    <row r="302" spans="1:19" x14ac:dyDescent="0.3">
      <c r="A302" s="23" t="s">
        <v>1058</v>
      </c>
      <c r="B302" s="23" t="s">
        <v>1059</v>
      </c>
      <c r="C302" s="24">
        <v>20.5</v>
      </c>
      <c r="D302" s="24">
        <v>2.85</v>
      </c>
      <c r="E302" s="24">
        <v>20.5</v>
      </c>
      <c r="F302" s="24">
        <v>20.5</v>
      </c>
      <c r="G302" s="24">
        <v>20.5</v>
      </c>
      <c r="H302" s="24">
        <v>17</v>
      </c>
      <c r="I302" s="24">
        <v>20.5</v>
      </c>
      <c r="J302" s="25">
        <v>1</v>
      </c>
      <c r="K302" s="25">
        <v>5</v>
      </c>
      <c r="L302" s="25">
        <v>7</v>
      </c>
      <c r="M302" s="18">
        <f t="shared" si="22"/>
        <v>350</v>
      </c>
      <c r="N302" s="19">
        <f t="shared" si="23"/>
        <v>45484</v>
      </c>
      <c r="O302" s="18" t="b">
        <f t="shared" si="21"/>
        <v>0</v>
      </c>
      <c r="P302" s="43" t="str">
        <f>IF(O302,swap_curve!$B$19,"")</f>
        <v/>
      </c>
      <c r="Q302" t="str">
        <f t="shared" si="24"/>
        <v/>
      </c>
      <c r="R302" t="str" cm="1">
        <f t="array" ref="R302">IF(O302,BSCall(swap_curve!$B$20,imvol!M302,imvol!P302,imvol!Q302,YEARFRAC(swap_curve!$C$1,imvol!N302)),"")</f>
        <v/>
      </c>
      <c r="S302" s="20" t="str">
        <f t="shared" si="20"/>
        <v/>
      </c>
    </row>
    <row r="303" spans="1:19" x14ac:dyDescent="0.3">
      <c r="A303" s="23" t="s">
        <v>1060</v>
      </c>
      <c r="B303" s="23" t="s">
        <v>1061</v>
      </c>
      <c r="C303" s="24" t="s">
        <v>23</v>
      </c>
      <c r="D303" s="24" t="s">
        <v>23</v>
      </c>
      <c r="E303" s="24" t="s">
        <v>23</v>
      </c>
      <c r="F303" s="24" t="s">
        <v>23</v>
      </c>
      <c r="G303" s="24" t="s">
        <v>23</v>
      </c>
      <c r="H303" s="24">
        <v>16.93</v>
      </c>
      <c r="I303" s="24">
        <v>18.75</v>
      </c>
      <c r="J303" s="25">
        <v>0</v>
      </c>
      <c r="K303" s="25">
        <v>0</v>
      </c>
      <c r="L303" s="25">
        <v>0</v>
      </c>
      <c r="M303" s="18">
        <f t="shared" si="22"/>
        <v>352.5</v>
      </c>
      <c r="N303" s="19">
        <f t="shared" si="23"/>
        <v>45484</v>
      </c>
      <c r="O303" s="18" t="b">
        <f t="shared" si="21"/>
        <v>0</v>
      </c>
      <c r="P303" s="43" t="str">
        <f>IF(O303,swap_curve!$B$19,"")</f>
        <v/>
      </c>
      <c r="Q303" t="str">
        <f t="shared" si="24"/>
        <v/>
      </c>
      <c r="R303" t="str" cm="1">
        <f t="array" ref="R303">IF(O303,BSCall(swap_curve!$B$20,imvol!M303,imvol!P303,imvol!Q303,YEARFRAC(swap_curve!$C$1,imvol!N303)),"")</f>
        <v/>
      </c>
      <c r="S303" s="20" t="str">
        <f t="shared" si="20"/>
        <v/>
      </c>
    </row>
    <row r="304" spans="1:19" x14ac:dyDescent="0.3">
      <c r="A304" s="23" t="s">
        <v>1062</v>
      </c>
      <c r="B304" s="23" t="s">
        <v>1063</v>
      </c>
      <c r="C304" s="24" t="s">
        <v>23</v>
      </c>
      <c r="D304" s="24" t="s">
        <v>23</v>
      </c>
      <c r="E304" s="24" t="s">
        <v>23</v>
      </c>
      <c r="F304" s="24" t="s">
        <v>23</v>
      </c>
      <c r="G304" s="24" t="s">
        <v>23</v>
      </c>
      <c r="H304" s="24">
        <v>16.86</v>
      </c>
      <c r="I304" s="24">
        <v>17.149999999999999</v>
      </c>
      <c r="J304" s="25">
        <v>0</v>
      </c>
      <c r="K304" s="25">
        <v>0</v>
      </c>
      <c r="L304" s="25">
        <v>605</v>
      </c>
      <c r="M304" s="18">
        <f t="shared" si="22"/>
        <v>355</v>
      </c>
      <c r="N304" s="19">
        <f t="shared" si="23"/>
        <v>45484</v>
      </c>
      <c r="O304" s="18" t="b">
        <f t="shared" si="21"/>
        <v>0</v>
      </c>
      <c r="P304" s="43" t="str">
        <f>IF(O304,swap_curve!$B$19,"")</f>
        <v/>
      </c>
      <c r="Q304" t="str">
        <f t="shared" si="24"/>
        <v/>
      </c>
      <c r="R304" t="str" cm="1">
        <f t="array" ref="R304">IF(O304,BSCall(swap_curve!$B$20,imvol!M304,imvol!P304,imvol!Q304,YEARFRAC(swap_curve!$C$1,imvol!N304)),"")</f>
        <v/>
      </c>
      <c r="S304" s="20" t="str">
        <f t="shared" si="20"/>
        <v/>
      </c>
    </row>
    <row r="305" spans="1:19" x14ac:dyDescent="0.3">
      <c r="A305" s="23" t="s">
        <v>1064</v>
      </c>
      <c r="B305" s="23" t="s">
        <v>1065</v>
      </c>
      <c r="C305" s="24" t="s">
        <v>23</v>
      </c>
      <c r="D305" s="24" t="s">
        <v>23</v>
      </c>
      <c r="E305" s="24" t="s">
        <v>23</v>
      </c>
      <c r="F305" s="24" t="s">
        <v>23</v>
      </c>
      <c r="G305" s="24" t="s">
        <v>23</v>
      </c>
      <c r="H305" s="24">
        <v>16.8</v>
      </c>
      <c r="I305" s="24">
        <v>15.55</v>
      </c>
      <c r="J305" s="25">
        <v>0</v>
      </c>
      <c r="K305" s="25">
        <v>0</v>
      </c>
      <c r="L305" s="25">
        <v>0</v>
      </c>
      <c r="M305" s="18">
        <f t="shared" si="22"/>
        <v>357.5</v>
      </c>
      <c r="N305" s="19">
        <f t="shared" si="23"/>
        <v>45484</v>
      </c>
      <c r="O305" s="18" t="b">
        <f t="shared" si="21"/>
        <v>0</v>
      </c>
      <c r="P305" s="43" t="str">
        <f>IF(O305,swap_curve!$B$19,"")</f>
        <v/>
      </c>
      <c r="Q305" t="str">
        <f t="shared" si="24"/>
        <v/>
      </c>
      <c r="R305" t="str" cm="1">
        <f t="array" ref="R305">IF(O305,BSCall(swap_curve!$B$20,imvol!M305,imvol!P305,imvol!Q305,YEARFRAC(swap_curve!$C$1,imvol!N305)),"")</f>
        <v/>
      </c>
      <c r="S305" s="20" t="str">
        <f t="shared" si="20"/>
        <v/>
      </c>
    </row>
    <row r="306" spans="1:19" x14ac:dyDescent="0.3">
      <c r="A306" s="23" t="s">
        <v>1066</v>
      </c>
      <c r="B306" s="23" t="s">
        <v>1067</v>
      </c>
      <c r="C306" s="24" t="s">
        <v>23</v>
      </c>
      <c r="D306" s="24" t="s">
        <v>23</v>
      </c>
      <c r="E306" s="24" t="s">
        <v>23</v>
      </c>
      <c r="F306" s="24" t="s">
        <v>23</v>
      </c>
      <c r="G306" s="24" t="s">
        <v>23</v>
      </c>
      <c r="H306" s="24">
        <v>16.73</v>
      </c>
      <c r="I306" s="24">
        <v>13.95</v>
      </c>
      <c r="J306" s="25">
        <v>0</v>
      </c>
      <c r="K306" s="25">
        <v>0</v>
      </c>
      <c r="L306" s="25">
        <v>985</v>
      </c>
      <c r="M306" s="18">
        <f t="shared" si="22"/>
        <v>360</v>
      </c>
      <c r="N306" s="19">
        <f t="shared" si="23"/>
        <v>45484</v>
      </c>
      <c r="O306" s="18" t="b">
        <f t="shared" si="21"/>
        <v>0</v>
      </c>
      <c r="P306" s="43" t="str">
        <f>IF(O306,swap_curve!$B$19,"")</f>
        <v/>
      </c>
      <c r="Q306" t="str">
        <f t="shared" si="24"/>
        <v/>
      </c>
      <c r="R306" t="str" cm="1">
        <f t="array" ref="R306">IF(O306,BSCall(swap_curve!$B$20,imvol!M306,imvol!P306,imvol!Q306,YEARFRAC(swap_curve!$C$1,imvol!N306)),"")</f>
        <v/>
      </c>
      <c r="S306" s="20" t="str">
        <f t="shared" si="20"/>
        <v/>
      </c>
    </row>
    <row r="307" spans="1:19" x14ac:dyDescent="0.3">
      <c r="A307" s="23" t="s">
        <v>1068</v>
      </c>
      <c r="B307" s="23" t="s">
        <v>1069</v>
      </c>
      <c r="C307" s="24" t="s">
        <v>23</v>
      </c>
      <c r="D307" s="24" t="s">
        <v>23</v>
      </c>
      <c r="E307" s="24" t="s">
        <v>23</v>
      </c>
      <c r="F307" s="24" t="s">
        <v>23</v>
      </c>
      <c r="G307" s="24" t="s">
        <v>23</v>
      </c>
      <c r="H307" s="24">
        <v>16.66</v>
      </c>
      <c r="I307" s="24">
        <v>12.6</v>
      </c>
      <c r="J307" s="25">
        <v>0</v>
      </c>
      <c r="K307" s="25">
        <v>0</v>
      </c>
      <c r="L307" s="25">
        <v>1</v>
      </c>
      <c r="M307" s="18">
        <f t="shared" si="22"/>
        <v>362.5</v>
      </c>
      <c r="N307" s="19">
        <f t="shared" si="23"/>
        <v>45484</v>
      </c>
      <c r="O307" s="18" t="b">
        <f t="shared" si="21"/>
        <v>0</v>
      </c>
      <c r="P307" s="43" t="str">
        <f>IF(O307,swap_curve!$B$19,"")</f>
        <v/>
      </c>
      <c r="Q307" t="str">
        <f t="shared" si="24"/>
        <v/>
      </c>
      <c r="R307" t="str" cm="1">
        <f t="array" ref="R307">IF(O307,BSCall(swap_curve!$B$20,imvol!M307,imvol!P307,imvol!Q307,YEARFRAC(swap_curve!$C$1,imvol!N307)),"")</f>
        <v/>
      </c>
      <c r="S307" s="20" t="str">
        <f t="shared" si="20"/>
        <v/>
      </c>
    </row>
    <row r="308" spans="1:19" x14ac:dyDescent="0.3">
      <c r="A308" s="23" t="s">
        <v>1070</v>
      </c>
      <c r="B308" s="23" t="s">
        <v>1071</v>
      </c>
      <c r="C308" s="24">
        <v>11.35</v>
      </c>
      <c r="D308" s="24">
        <v>2.0699999999999998</v>
      </c>
      <c r="E308" s="24">
        <v>11.4</v>
      </c>
      <c r="F308" s="24">
        <v>11.4</v>
      </c>
      <c r="G308" s="24">
        <v>11.35</v>
      </c>
      <c r="H308" s="24">
        <v>16.600000000000001</v>
      </c>
      <c r="I308" s="24">
        <v>11.35</v>
      </c>
      <c r="J308" s="25">
        <v>2</v>
      </c>
      <c r="K308" s="25">
        <v>6</v>
      </c>
      <c r="L308" s="25">
        <v>8</v>
      </c>
      <c r="M308" s="18">
        <f t="shared" si="22"/>
        <v>365</v>
      </c>
      <c r="N308" s="19">
        <f t="shared" si="23"/>
        <v>45484</v>
      </c>
      <c r="O308" s="18" t="b">
        <f t="shared" si="21"/>
        <v>0</v>
      </c>
      <c r="P308" s="43" t="str">
        <f>IF(O308,swap_curve!$B$19,"")</f>
        <v/>
      </c>
      <c r="Q308" t="str">
        <f t="shared" si="24"/>
        <v/>
      </c>
      <c r="R308" t="str" cm="1">
        <f t="array" ref="R308">IF(O308,BSCall(swap_curve!$B$20,imvol!M308,imvol!P308,imvol!Q308,YEARFRAC(swap_curve!$C$1,imvol!N308)),"")</f>
        <v/>
      </c>
      <c r="S308" s="20" t="str">
        <f t="shared" si="20"/>
        <v/>
      </c>
    </row>
    <row r="309" spans="1:19" x14ac:dyDescent="0.3">
      <c r="A309" s="23" t="s">
        <v>1072</v>
      </c>
      <c r="B309" s="23" t="s">
        <v>1073</v>
      </c>
      <c r="C309" s="24" t="s">
        <v>23</v>
      </c>
      <c r="D309" s="24" t="s">
        <v>23</v>
      </c>
      <c r="E309" s="24" t="s">
        <v>23</v>
      </c>
      <c r="F309" s="24" t="s">
        <v>23</v>
      </c>
      <c r="G309" s="24" t="s">
        <v>23</v>
      </c>
      <c r="H309" s="24">
        <v>16.3</v>
      </c>
      <c r="I309" s="24">
        <v>9.82</v>
      </c>
      <c r="J309" s="25">
        <v>0</v>
      </c>
      <c r="K309" s="25">
        <v>0</v>
      </c>
      <c r="L309" s="25">
        <v>1</v>
      </c>
      <c r="M309" s="18">
        <f t="shared" si="22"/>
        <v>367.5</v>
      </c>
      <c r="N309" s="19">
        <f t="shared" si="23"/>
        <v>45484</v>
      </c>
      <c r="O309" s="18" t="b">
        <f t="shared" si="21"/>
        <v>0</v>
      </c>
      <c r="P309" s="43" t="str">
        <f>IF(O309,swap_curve!$B$19,"")</f>
        <v/>
      </c>
      <c r="Q309" t="str">
        <f t="shared" si="24"/>
        <v/>
      </c>
      <c r="R309" t="str" cm="1">
        <f t="array" ref="R309">IF(O309,BSCall(swap_curve!$B$20,imvol!M309,imvol!P309,imvol!Q309,YEARFRAC(swap_curve!$C$1,imvol!N309)),"")</f>
        <v/>
      </c>
      <c r="S309" s="20" t="str">
        <f t="shared" si="20"/>
        <v/>
      </c>
    </row>
    <row r="310" spans="1:19" x14ac:dyDescent="0.3">
      <c r="A310" s="23" t="s">
        <v>1074</v>
      </c>
      <c r="B310" s="23" t="s">
        <v>1075</v>
      </c>
      <c r="C310" s="24">
        <v>8.76</v>
      </c>
      <c r="D310" s="24">
        <v>1.29</v>
      </c>
      <c r="E310" s="24">
        <v>7.94</v>
      </c>
      <c r="F310" s="24">
        <v>8.8000000000000007</v>
      </c>
      <c r="G310" s="24">
        <v>7.94</v>
      </c>
      <c r="H310" s="24">
        <v>16</v>
      </c>
      <c r="I310" s="24">
        <v>8.76</v>
      </c>
      <c r="J310" s="25">
        <v>14</v>
      </c>
      <c r="K310" s="25">
        <v>29</v>
      </c>
      <c r="L310" s="25">
        <v>2921</v>
      </c>
      <c r="M310" s="18">
        <f t="shared" si="22"/>
        <v>370</v>
      </c>
      <c r="N310" s="19">
        <f t="shared" si="23"/>
        <v>45484</v>
      </c>
      <c r="O310" s="18" t="b">
        <v>1</v>
      </c>
      <c r="P310" s="43">
        <f>IF(O310,swap_curve!$B$19,"")</f>
        <v>3.5699999999999996E-2</v>
      </c>
      <c r="Q310">
        <v>0.16081551315101034</v>
      </c>
      <c r="R310" cm="1">
        <f t="array" ref="R310">IF(O310,BSCall(swap_curve!$B$20,imvol!M310,imvol!P310,imvol!Q310,YEARFRAC(swap_curve!$C$1,imvol!N310)),"")</f>
        <v>8.6346471130125622</v>
      </c>
      <c r="S310" s="20">
        <f t="shared" si="20"/>
        <v>-0.12535288698743763</v>
      </c>
    </row>
    <row r="311" spans="1:19" x14ac:dyDescent="0.3">
      <c r="A311" s="23" t="s">
        <v>1076</v>
      </c>
      <c r="B311" s="23" t="s">
        <v>1077</v>
      </c>
      <c r="C311" s="24" t="s">
        <v>23</v>
      </c>
      <c r="D311" s="24" t="s">
        <v>23</v>
      </c>
      <c r="E311" s="24" t="s">
        <v>23</v>
      </c>
      <c r="F311" s="24" t="s">
        <v>23</v>
      </c>
      <c r="G311" s="24" t="s">
        <v>23</v>
      </c>
      <c r="H311" s="24">
        <v>16</v>
      </c>
      <c r="I311" s="24">
        <v>7.58</v>
      </c>
      <c r="J311" s="25">
        <v>0</v>
      </c>
      <c r="K311" s="25">
        <v>0</v>
      </c>
      <c r="L311" s="25">
        <v>13</v>
      </c>
      <c r="M311" s="18">
        <f t="shared" si="22"/>
        <v>372.5</v>
      </c>
      <c r="N311" s="19">
        <f t="shared" si="23"/>
        <v>45484</v>
      </c>
      <c r="O311" s="18" t="b">
        <f t="shared" si="21"/>
        <v>0</v>
      </c>
      <c r="P311" s="43" t="str">
        <f>IF(O311,swap_curve!$B$19,"")</f>
        <v/>
      </c>
      <c r="Q311" t="str">
        <f t="shared" si="24"/>
        <v/>
      </c>
      <c r="R311" t="str" cm="1">
        <f t="array" ref="R311">IF(O311,BSCall(swap_curve!$B$20,imvol!M311,imvol!P311,imvol!Q311,YEARFRAC(swap_curve!$C$1,imvol!N311)),"")</f>
        <v/>
      </c>
      <c r="S311" s="20" t="str">
        <f t="shared" si="20"/>
        <v/>
      </c>
    </row>
    <row r="312" spans="1:19" x14ac:dyDescent="0.3">
      <c r="A312" s="23" t="s">
        <v>1078</v>
      </c>
      <c r="B312" s="23" t="s">
        <v>1079</v>
      </c>
      <c r="C312" s="24" t="s">
        <v>23</v>
      </c>
      <c r="D312" s="24" t="s">
        <v>23</v>
      </c>
      <c r="E312" s="24" t="s">
        <v>23</v>
      </c>
      <c r="F312" s="24" t="s">
        <v>23</v>
      </c>
      <c r="G312" s="24" t="s">
        <v>23</v>
      </c>
      <c r="H312" s="24">
        <v>16</v>
      </c>
      <c r="I312" s="24">
        <v>6.59</v>
      </c>
      <c r="J312" s="25">
        <v>0</v>
      </c>
      <c r="K312" s="25">
        <v>0</v>
      </c>
      <c r="L312" s="25">
        <v>97</v>
      </c>
      <c r="M312" s="18">
        <f t="shared" si="22"/>
        <v>375</v>
      </c>
      <c r="N312" s="19">
        <f t="shared" si="23"/>
        <v>45484</v>
      </c>
      <c r="O312" s="18" t="b">
        <f t="shared" si="21"/>
        <v>0</v>
      </c>
      <c r="P312" s="43" t="str">
        <f>IF(O312,swap_curve!$B$19,"")</f>
        <v/>
      </c>
      <c r="Q312" t="str">
        <f t="shared" si="24"/>
        <v/>
      </c>
      <c r="R312" t="str" cm="1">
        <f t="array" ref="R312">IF(O312,BSCall(swap_curve!$B$20,imvol!M312,imvol!P312,imvol!Q312,YEARFRAC(swap_curve!$C$1,imvol!N312)),"")</f>
        <v/>
      </c>
      <c r="S312" s="20" t="str">
        <f t="shared" si="20"/>
        <v/>
      </c>
    </row>
    <row r="313" spans="1:19" x14ac:dyDescent="0.3">
      <c r="A313" s="23" t="s">
        <v>1080</v>
      </c>
      <c r="B313" s="23" t="s">
        <v>1081</v>
      </c>
      <c r="C313" s="24">
        <v>5.9</v>
      </c>
      <c r="D313" s="24">
        <v>0.88</v>
      </c>
      <c r="E313" s="24">
        <v>5.95</v>
      </c>
      <c r="F313" s="24">
        <v>6.06</v>
      </c>
      <c r="G313" s="24">
        <v>5.9</v>
      </c>
      <c r="H313" s="24">
        <v>16</v>
      </c>
      <c r="I313" s="24">
        <v>5.9</v>
      </c>
      <c r="J313" s="25">
        <v>30</v>
      </c>
      <c r="K313" s="25">
        <v>45</v>
      </c>
      <c r="L313" s="25">
        <v>41</v>
      </c>
      <c r="M313" s="18">
        <f t="shared" si="22"/>
        <v>377.5</v>
      </c>
      <c r="N313" s="19">
        <f t="shared" si="23"/>
        <v>45484</v>
      </c>
      <c r="O313" s="18" t="b">
        <v>1</v>
      </c>
      <c r="P313" s="43">
        <f>IF(O313,swap_curve!$B$19,"")</f>
        <v>3.5699999999999996E-2</v>
      </c>
      <c r="Q313">
        <v>0.16169176474613028</v>
      </c>
      <c r="R313" cm="1">
        <f t="array" ref="R313">IF(O313,BSCall(swap_curve!$B$20,imvol!M313,imvol!P313,imvol!Q313,YEARFRAC(swap_curve!$C$1,imvol!N313)),"")</f>
        <v>5.8043045003931582</v>
      </c>
      <c r="S313" s="20">
        <f t="shared" si="20"/>
        <v>-9.5695499606842205E-2</v>
      </c>
    </row>
    <row r="314" spans="1:19" x14ac:dyDescent="0.3">
      <c r="A314" s="23" t="s">
        <v>1082</v>
      </c>
      <c r="B314" s="23" t="s">
        <v>1083</v>
      </c>
      <c r="C314" s="24">
        <v>5.0999999999999996</v>
      </c>
      <c r="D314" s="24">
        <v>0.63</v>
      </c>
      <c r="E314" s="24">
        <v>5.03</v>
      </c>
      <c r="F314" s="24">
        <v>5.2</v>
      </c>
      <c r="G314" s="24">
        <v>5.03</v>
      </c>
      <c r="H314" s="24">
        <v>15.9</v>
      </c>
      <c r="I314" s="24">
        <v>5.0999999999999996</v>
      </c>
      <c r="J314" s="25">
        <v>18</v>
      </c>
      <c r="K314" s="25">
        <v>23</v>
      </c>
      <c r="L314" s="25">
        <v>976</v>
      </c>
      <c r="M314" s="18">
        <f t="shared" si="22"/>
        <v>380</v>
      </c>
      <c r="N314" s="19">
        <f t="shared" si="23"/>
        <v>45484</v>
      </c>
      <c r="O314" s="18" t="b">
        <f t="shared" si="21"/>
        <v>0</v>
      </c>
      <c r="P314" s="43" t="str">
        <f>IF(O314,swap_curve!$B$19,"")</f>
        <v/>
      </c>
      <c r="Q314" t="str">
        <f t="shared" si="24"/>
        <v/>
      </c>
      <c r="R314" t="str" cm="1">
        <f t="array" ref="R314">IF(O314,BSCall(swap_curve!$B$20,imvol!M314,imvol!P314,imvol!Q314,YEARFRAC(swap_curve!$C$1,imvol!N314)),"")</f>
        <v/>
      </c>
      <c r="S314" s="20" t="str">
        <f t="shared" si="20"/>
        <v/>
      </c>
    </row>
    <row r="315" spans="1:19" x14ac:dyDescent="0.3">
      <c r="A315" s="23" t="s">
        <v>1084</v>
      </c>
      <c r="B315" s="23" t="s">
        <v>1085</v>
      </c>
      <c r="C315" s="24">
        <v>4.4000000000000004</v>
      </c>
      <c r="D315" s="24">
        <v>0.71</v>
      </c>
      <c r="E315" s="24">
        <v>4.4800000000000004</v>
      </c>
      <c r="F315" s="24">
        <v>4.4800000000000004</v>
      </c>
      <c r="G315" s="24">
        <v>4.4000000000000004</v>
      </c>
      <c r="H315" s="24">
        <v>16</v>
      </c>
      <c r="I315" s="24">
        <v>4.4000000000000004</v>
      </c>
      <c r="J315" s="25">
        <v>4</v>
      </c>
      <c r="K315" s="25">
        <v>4</v>
      </c>
      <c r="L315" s="25">
        <v>33</v>
      </c>
      <c r="M315" s="18">
        <f t="shared" si="22"/>
        <v>382.5</v>
      </c>
      <c r="N315" s="19">
        <f t="shared" si="23"/>
        <v>45484</v>
      </c>
      <c r="O315" s="18" t="b">
        <f t="shared" si="21"/>
        <v>0</v>
      </c>
      <c r="P315" s="43" t="str">
        <f>IF(O315,swap_curve!$B$19,"")</f>
        <v/>
      </c>
      <c r="Q315" t="str">
        <f t="shared" si="24"/>
        <v/>
      </c>
      <c r="R315" t="str" cm="1">
        <f t="array" ref="R315">IF(O315,BSCall(swap_curve!$B$20,imvol!M315,imvol!P315,imvol!Q315,YEARFRAC(swap_curve!$C$1,imvol!N315)),"")</f>
        <v/>
      </c>
      <c r="S315" s="20" t="str">
        <f t="shared" si="20"/>
        <v/>
      </c>
    </row>
    <row r="316" spans="1:19" x14ac:dyDescent="0.3">
      <c r="A316" s="23" t="s">
        <v>1086</v>
      </c>
      <c r="B316" s="23" t="s">
        <v>1087</v>
      </c>
      <c r="C316" s="24">
        <v>3.75</v>
      </c>
      <c r="D316" s="24">
        <v>0.65</v>
      </c>
      <c r="E316" s="24">
        <v>3.65</v>
      </c>
      <c r="F316" s="24">
        <v>3.88</v>
      </c>
      <c r="G316" s="24">
        <v>3.62</v>
      </c>
      <c r="H316" s="24">
        <v>15.9</v>
      </c>
      <c r="I316" s="24">
        <v>3.75</v>
      </c>
      <c r="J316" s="25">
        <v>35</v>
      </c>
      <c r="K316" s="25">
        <v>33</v>
      </c>
      <c r="L316" s="25">
        <v>3070</v>
      </c>
      <c r="M316" s="18">
        <f t="shared" si="22"/>
        <v>385</v>
      </c>
      <c r="N316" s="19">
        <f t="shared" si="23"/>
        <v>45484</v>
      </c>
      <c r="O316" s="18" t="b">
        <v>1</v>
      </c>
      <c r="P316" s="43">
        <f>IF(O316,swap_curve!$B$19,"")</f>
        <v>3.5699999999999996E-2</v>
      </c>
      <c r="Q316">
        <v>0.16121643879836961</v>
      </c>
      <c r="R316" cm="1">
        <f t="array" ref="R316">IF(O316,BSCall(swap_curve!$B$20,imvol!M316,imvol!P316,imvol!Q316,YEARFRAC(swap_curve!$C$1,imvol!N316)),"")</f>
        <v>3.6810583094339506</v>
      </c>
      <c r="S316" s="20">
        <f t="shared" si="20"/>
        <v>-6.8941690566049374E-2</v>
      </c>
    </row>
    <row r="317" spans="1:19" x14ac:dyDescent="0.3">
      <c r="A317" s="23" t="s">
        <v>1088</v>
      </c>
      <c r="B317" s="23" t="s">
        <v>1089</v>
      </c>
      <c r="C317" s="24">
        <v>3.25</v>
      </c>
      <c r="D317" s="24">
        <v>0.7</v>
      </c>
      <c r="E317" s="24">
        <v>2.85</v>
      </c>
      <c r="F317" s="24">
        <v>3.25</v>
      </c>
      <c r="G317" s="24">
        <v>2.85</v>
      </c>
      <c r="H317" s="24">
        <v>15.9</v>
      </c>
      <c r="I317" s="24">
        <v>3.25</v>
      </c>
      <c r="J317" s="25">
        <v>2</v>
      </c>
      <c r="K317" s="25">
        <v>2</v>
      </c>
      <c r="L317" s="25">
        <v>3</v>
      </c>
      <c r="M317" s="18">
        <f t="shared" si="22"/>
        <v>387.5</v>
      </c>
      <c r="N317" s="19">
        <f t="shared" si="23"/>
        <v>45484</v>
      </c>
      <c r="O317" s="18" t="b">
        <f t="shared" si="21"/>
        <v>0</v>
      </c>
      <c r="P317" s="43" t="str">
        <f>IF(O317,swap_curve!$B$19,"")</f>
        <v/>
      </c>
      <c r="Q317" t="str">
        <f t="shared" si="24"/>
        <v/>
      </c>
      <c r="R317" t="str" cm="1">
        <f t="array" ref="R317">IF(O317,BSCall(swap_curve!$B$20,imvol!M317,imvol!P317,imvol!Q317,YEARFRAC(swap_curve!$C$1,imvol!N317)),"")</f>
        <v/>
      </c>
      <c r="S317" s="20" t="str">
        <f t="shared" si="20"/>
        <v/>
      </c>
    </row>
    <row r="318" spans="1:19" x14ac:dyDescent="0.3">
      <c r="A318" s="23" t="s">
        <v>1090</v>
      </c>
      <c r="B318" s="23" t="s">
        <v>1091</v>
      </c>
      <c r="C318" s="24">
        <v>2.67</v>
      </c>
      <c r="D318" s="24">
        <v>0.34</v>
      </c>
      <c r="E318" s="24">
        <v>2.62</v>
      </c>
      <c r="F318" s="24">
        <v>2.71</v>
      </c>
      <c r="G318" s="24">
        <v>2.6</v>
      </c>
      <c r="H318" s="24">
        <v>16</v>
      </c>
      <c r="I318" s="24">
        <v>2.67</v>
      </c>
      <c r="J318" s="25">
        <v>4</v>
      </c>
      <c r="K318" s="25">
        <v>3</v>
      </c>
      <c r="L318" s="25">
        <v>448</v>
      </c>
      <c r="M318" s="18">
        <f t="shared" si="22"/>
        <v>390</v>
      </c>
      <c r="N318" s="19">
        <f t="shared" si="23"/>
        <v>45484</v>
      </c>
      <c r="O318" s="18" t="b">
        <f t="shared" si="21"/>
        <v>0</v>
      </c>
      <c r="P318" s="43" t="str">
        <f>IF(O318,swap_curve!$B$19,"")</f>
        <v/>
      </c>
      <c r="Q318" t="str">
        <f t="shared" si="24"/>
        <v/>
      </c>
      <c r="R318" t="str" cm="1">
        <f t="array" ref="R318">IF(O318,BSCall(swap_curve!$B$20,imvol!M318,imvol!P318,imvol!Q318,YEARFRAC(swap_curve!$C$1,imvol!N318)),"")</f>
        <v/>
      </c>
      <c r="S318" s="20" t="str">
        <f t="shared" si="20"/>
        <v/>
      </c>
    </row>
    <row r="319" spans="1:19" x14ac:dyDescent="0.3">
      <c r="A319" s="23" t="s">
        <v>1092</v>
      </c>
      <c r="B319" s="23" t="s">
        <v>1093</v>
      </c>
      <c r="C319" s="24">
        <v>2.23</v>
      </c>
      <c r="D319" s="24">
        <v>0.42</v>
      </c>
      <c r="E319" s="24">
        <v>2.23</v>
      </c>
      <c r="F319" s="24">
        <v>2.23</v>
      </c>
      <c r="G319" s="24">
        <v>2.23</v>
      </c>
      <c r="H319" s="24">
        <v>15.8</v>
      </c>
      <c r="I319" s="24">
        <v>2.23</v>
      </c>
      <c r="J319" s="25">
        <v>1</v>
      </c>
      <c r="K319" s="25">
        <v>1</v>
      </c>
      <c r="L319" s="25">
        <v>25</v>
      </c>
      <c r="M319" s="18">
        <f t="shared" si="22"/>
        <v>392.5</v>
      </c>
      <c r="N319" s="19">
        <f t="shared" si="23"/>
        <v>45484</v>
      </c>
      <c r="O319" s="18" t="b">
        <f t="shared" si="21"/>
        <v>0</v>
      </c>
      <c r="P319" s="43" t="str">
        <f>IF(O319,swap_curve!$B$19,"")</f>
        <v/>
      </c>
      <c r="Q319" t="str">
        <f t="shared" si="24"/>
        <v/>
      </c>
      <c r="R319" t="str" cm="1">
        <f t="array" ref="R319">IF(O319,BSCall(swap_curve!$B$20,imvol!M319,imvol!P319,imvol!Q319,YEARFRAC(swap_curve!$C$1,imvol!N319)),"")</f>
        <v/>
      </c>
      <c r="S319" s="20" t="str">
        <f t="shared" ref="S319:S382" si="25">IF(O319,R319-C319,"")</f>
        <v/>
      </c>
    </row>
    <row r="320" spans="1:19" x14ac:dyDescent="0.3">
      <c r="A320" s="23" t="s">
        <v>1094</v>
      </c>
      <c r="B320" s="23" t="s">
        <v>1095</v>
      </c>
      <c r="C320" s="24">
        <v>1.9</v>
      </c>
      <c r="D320" s="24">
        <v>0.42</v>
      </c>
      <c r="E320" s="24">
        <v>1.9</v>
      </c>
      <c r="F320" s="24">
        <v>1.9</v>
      </c>
      <c r="G320" s="24">
        <v>1.9</v>
      </c>
      <c r="H320" s="24">
        <v>15.8</v>
      </c>
      <c r="I320" s="24">
        <v>1.9</v>
      </c>
      <c r="J320" s="25">
        <v>1</v>
      </c>
      <c r="K320" s="25">
        <v>0</v>
      </c>
      <c r="L320" s="25">
        <v>378</v>
      </c>
      <c r="M320" s="18">
        <f t="shared" si="22"/>
        <v>395</v>
      </c>
      <c r="N320" s="19">
        <f t="shared" si="23"/>
        <v>45484</v>
      </c>
      <c r="O320" s="18" t="b">
        <f t="shared" si="21"/>
        <v>0</v>
      </c>
      <c r="P320" s="43" t="str">
        <f>IF(O320,swap_curve!$B$19,"")</f>
        <v/>
      </c>
      <c r="Q320" t="str">
        <f t="shared" si="24"/>
        <v/>
      </c>
      <c r="R320" t="str" cm="1">
        <f t="array" ref="R320">IF(O320,BSCall(swap_curve!$B$20,imvol!M320,imvol!P320,imvol!Q320,YEARFRAC(swap_curve!$C$1,imvol!N320)),"")</f>
        <v/>
      </c>
      <c r="S320" s="20" t="str">
        <f t="shared" si="25"/>
        <v/>
      </c>
    </row>
    <row r="321" spans="1:19" x14ac:dyDescent="0.3">
      <c r="A321" s="23" t="s">
        <v>1096</v>
      </c>
      <c r="B321" s="23" t="s">
        <v>1097</v>
      </c>
      <c r="C321" s="24">
        <v>1.58</v>
      </c>
      <c r="D321" s="24">
        <v>0.31</v>
      </c>
      <c r="E321" s="24">
        <v>1.58</v>
      </c>
      <c r="F321" s="24">
        <v>1.58</v>
      </c>
      <c r="G321" s="24">
        <v>1.58</v>
      </c>
      <c r="H321" s="24">
        <v>16</v>
      </c>
      <c r="I321" s="24">
        <v>1.58</v>
      </c>
      <c r="J321" s="25">
        <v>1</v>
      </c>
      <c r="K321" s="25">
        <v>0</v>
      </c>
      <c r="L321" s="25">
        <v>28</v>
      </c>
      <c r="M321" s="18">
        <f t="shared" si="22"/>
        <v>397.5</v>
      </c>
      <c r="N321" s="19">
        <f t="shared" si="23"/>
        <v>45484</v>
      </c>
      <c r="O321" s="18" t="b">
        <f t="shared" si="21"/>
        <v>0</v>
      </c>
      <c r="P321" s="43" t="str">
        <f>IF(O321,swap_curve!$B$19,"")</f>
        <v/>
      </c>
      <c r="Q321" t="str">
        <f t="shared" si="24"/>
        <v/>
      </c>
      <c r="R321" t="str" cm="1">
        <f t="array" ref="R321">IF(O321,BSCall(swap_curve!$B$20,imvol!M321,imvol!P321,imvol!Q321,YEARFRAC(swap_curve!$C$1,imvol!N321)),"")</f>
        <v/>
      </c>
      <c r="S321" s="20" t="str">
        <f t="shared" si="25"/>
        <v/>
      </c>
    </row>
    <row r="322" spans="1:19" x14ac:dyDescent="0.3">
      <c r="A322" s="23" t="s">
        <v>1098</v>
      </c>
      <c r="B322" s="23" t="s">
        <v>1099</v>
      </c>
      <c r="C322" s="24">
        <v>1.41</v>
      </c>
      <c r="D322" s="24">
        <v>0.27</v>
      </c>
      <c r="E322" s="24">
        <v>1.49</v>
      </c>
      <c r="F322" s="24">
        <v>1.49</v>
      </c>
      <c r="G322" s="24">
        <v>1.29</v>
      </c>
      <c r="H322" s="24">
        <v>15.9</v>
      </c>
      <c r="I322" s="24">
        <v>1.41</v>
      </c>
      <c r="J322" s="25">
        <v>36</v>
      </c>
      <c r="K322" s="25">
        <v>13</v>
      </c>
      <c r="L322" s="25">
        <v>298</v>
      </c>
      <c r="M322" s="18">
        <f t="shared" si="22"/>
        <v>400</v>
      </c>
      <c r="N322" s="19">
        <f t="shared" si="23"/>
        <v>45484</v>
      </c>
      <c r="O322" s="18" t="b">
        <v>1</v>
      </c>
      <c r="P322" s="43">
        <f>IF(O322,swap_curve!$B$19,"")</f>
        <v>3.5699999999999996E-2</v>
      </c>
      <c r="Q322">
        <v>0.16390476519597133</v>
      </c>
      <c r="R322" cm="1">
        <f t="array" ref="R322">IF(O322,BSCall(swap_curve!$B$20,imvol!M322,imvol!P322,imvol!Q322,YEARFRAC(swap_curve!$C$1,imvol!N322)),"")</f>
        <v>1.3785808559720465</v>
      </c>
      <c r="S322" s="20">
        <f t="shared" si="25"/>
        <v>-3.1419144027953427E-2</v>
      </c>
    </row>
    <row r="323" spans="1:19" x14ac:dyDescent="0.3">
      <c r="A323" s="23" t="s">
        <v>1100</v>
      </c>
      <c r="B323" s="23" t="s">
        <v>1101</v>
      </c>
      <c r="C323" s="24">
        <v>1.2</v>
      </c>
      <c r="D323" s="24">
        <v>0.24</v>
      </c>
      <c r="E323" s="24">
        <v>1.03</v>
      </c>
      <c r="F323" s="24">
        <v>1.2</v>
      </c>
      <c r="G323" s="24">
        <v>1.03</v>
      </c>
      <c r="H323" s="24">
        <v>16.100000000000001</v>
      </c>
      <c r="I323" s="24">
        <v>1.2</v>
      </c>
      <c r="J323" s="25">
        <v>11</v>
      </c>
      <c r="K323" s="25">
        <v>3</v>
      </c>
      <c r="L323" s="25">
        <v>71</v>
      </c>
      <c r="M323" s="18">
        <f t="shared" ref="M323:M386" si="26">VALUE(RIGHT(B323, 6))</f>
        <v>402.5</v>
      </c>
      <c r="N323" s="19">
        <f t="shared" ref="N323:N386" si="27">DATE(VALUE(LEFT(MID(B323,10,6),4)),VALUE(RIGHT(MID(B323,10,6),2)),1)+MOD(5-WEEKDAY(DATE(VALUE(LEFT(MID(B323,10,6),4)),VALUE(RIGHT(MID(B323,10,6),2)),1)),7)+7</f>
        <v>45484</v>
      </c>
      <c r="O323" s="18" t="b">
        <f t="shared" ref="O323:O385" si="28">IF(J323&gt;100, TRUE,FALSE)</f>
        <v>0</v>
      </c>
      <c r="P323" s="43" t="str">
        <f>IF(O323,swap_curve!$B$19,"")</f>
        <v/>
      </c>
      <c r="Q323" t="str">
        <f t="shared" ref="Q323:Q386" si="29">IF(O323,H323%,"")</f>
        <v/>
      </c>
      <c r="R323" t="str" cm="1">
        <f t="array" ref="R323">IF(O323,BSCall(swap_curve!$B$20,imvol!M323,imvol!P323,imvol!Q323,YEARFRAC(swap_curve!$C$1,imvol!N323)),"")</f>
        <v/>
      </c>
      <c r="S323" s="20" t="str">
        <f t="shared" si="25"/>
        <v/>
      </c>
    </row>
    <row r="324" spans="1:19" x14ac:dyDescent="0.3">
      <c r="A324" s="23" t="s">
        <v>1102</v>
      </c>
      <c r="B324" s="23" t="s">
        <v>1103</v>
      </c>
      <c r="C324" s="24">
        <v>0.97</v>
      </c>
      <c r="D324" s="24">
        <v>0.17</v>
      </c>
      <c r="E324" s="24">
        <v>0.93</v>
      </c>
      <c r="F324" s="24">
        <v>0.97</v>
      </c>
      <c r="G324" s="24">
        <v>0.92</v>
      </c>
      <c r="H324" s="24">
        <v>16.2</v>
      </c>
      <c r="I324" s="24">
        <v>0.97</v>
      </c>
      <c r="J324" s="25">
        <v>14</v>
      </c>
      <c r="K324" s="25">
        <v>3</v>
      </c>
      <c r="L324" s="25">
        <v>392</v>
      </c>
      <c r="M324" s="18">
        <f t="shared" si="26"/>
        <v>405</v>
      </c>
      <c r="N324" s="19">
        <f t="shared" si="27"/>
        <v>45484</v>
      </c>
      <c r="O324" s="18" t="b">
        <f t="shared" si="28"/>
        <v>0</v>
      </c>
      <c r="P324" s="43" t="str">
        <f>IF(O324,swap_curve!$B$19,"")</f>
        <v/>
      </c>
      <c r="Q324" t="str">
        <f t="shared" si="29"/>
        <v/>
      </c>
      <c r="R324" t="str" cm="1">
        <f t="array" ref="R324">IF(O324,BSCall(swap_curve!$B$20,imvol!M324,imvol!P324,imvol!Q324,YEARFRAC(swap_curve!$C$1,imvol!N324)),"")</f>
        <v/>
      </c>
      <c r="S324" s="20" t="str">
        <f t="shared" si="25"/>
        <v/>
      </c>
    </row>
    <row r="325" spans="1:19" x14ac:dyDescent="0.3">
      <c r="A325" s="23" t="s">
        <v>1104</v>
      </c>
      <c r="B325" s="23" t="s">
        <v>1105</v>
      </c>
      <c r="C325" s="24">
        <v>0.77</v>
      </c>
      <c r="D325" s="24">
        <v>0.09</v>
      </c>
      <c r="E325" s="24">
        <v>0.78</v>
      </c>
      <c r="F325" s="24">
        <v>0.8</v>
      </c>
      <c r="G325" s="24">
        <v>0.77</v>
      </c>
      <c r="H325" s="24">
        <v>16.100000000000001</v>
      </c>
      <c r="I325" s="24">
        <v>0.77</v>
      </c>
      <c r="J325" s="25">
        <v>5</v>
      </c>
      <c r="K325" s="25">
        <v>1</v>
      </c>
      <c r="L325" s="25">
        <v>75</v>
      </c>
      <c r="M325" s="18">
        <f t="shared" si="26"/>
        <v>407.5</v>
      </c>
      <c r="N325" s="19">
        <f t="shared" si="27"/>
        <v>45484</v>
      </c>
      <c r="O325" s="18" t="b">
        <f t="shared" si="28"/>
        <v>0</v>
      </c>
      <c r="P325" s="43" t="str">
        <f>IF(O325,swap_curve!$B$19,"")</f>
        <v/>
      </c>
      <c r="Q325" t="str">
        <f t="shared" si="29"/>
        <v/>
      </c>
      <c r="R325" t="str" cm="1">
        <f t="array" ref="R325">IF(O325,BSCall(swap_curve!$B$20,imvol!M325,imvol!P325,imvol!Q325,YEARFRAC(swap_curve!$C$1,imvol!N325)),"")</f>
        <v/>
      </c>
      <c r="S325" s="20" t="str">
        <f t="shared" si="25"/>
        <v/>
      </c>
    </row>
    <row r="326" spans="1:19" x14ac:dyDescent="0.3">
      <c r="A326" s="23" t="s">
        <v>1106</v>
      </c>
      <c r="B326" s="23" t="s">
        <v>1107</v>
      </c>
      <c r="C326" s="24">
        <v>0.7</v>
      </c>
      <c r="D326" s="24">
        <v>0.13</v>
      </c>
      <c r="E326" s="24">
        <v>0.66</v>
      </c>
      <c r="F326" s="24">
        <v>0.7</v>
      </c>
      <c r="G326" s="24">
        <v>0.66</v>
      </c>
      <c r="H326" s="24">
        <v>16.3</v>
      </c>
      <c r="I326" s="24">
        <v>0.7</v>
      </c>
      <c r="J326" s="25">
        <v>10</v>
      </c>
      <c r="K326" s="25">
        <v>2</v>
      </c>
      <c r="L326" s="25">
        <v>138</v>
      </c>
      <c r="M326" s="18">
        <f t="shared" si="26"/>
        <v>410</v>
      </c>
      <c r="N326" s="19">
        <f t="shared" si="27"/>
        <v>45484</v>
      </c>
      <c r="O326" s="18" t="b">
        <f t="shared" si="28"/>
        <v>0</v>
      </c>
      <c r="P326" s="43" t="str">
        <f>IF(O326,swap_curve!$B$19,"")</f>
        <v/>
      </c>
      <c r="Q326" t="str">
        <f t="shared" si="29"/>
        <v/>
      </c>
      <c r="R326" t="str" cm="1">
        <f t="array" ref="R326">IF(O326,BSCall(swap_curve!$B$20,imvol!M326,imvol!P326,imvol!Q326,YEARFRAC(swap_curve!$C$1,imvol!N326)),"")</f>
        <v/>
      </c>
      <c r="S326" s="20" t="str">
        <f t="shared" si="25"/>
        <v/>
      </c>
    </row>
    <row r="327" spans="1:19" x14ac:dyDescent="0.3">
      <c r="A327" s="23" t="s">
        <v>1108</v>
      </c>
      <c r="B327" s="23" t="s">
        <v>1109</v>
      </c>
      <c r="C327" s="24">
        <v>0.56000000000000005</v>
      </c>
      <c r="D327" s="24">
        <v>7.0000000000000007E-2</v>
      </c>
      <c r="E327" s="24">
        <v>0.55000000000000004</v>
      </c>
      <c r="F327" s="24">
        <v>0.56000000000000005</v>
      </c>
      <c r="G327" s="24">
        <v>0.55000000000000004</v>
      </c>
      <c r="H327" s="24">
        <v>16.3</v>
      </c>
      <c r="I327" s="24">
        <v>0.56000000000000005</v>
      </c>
      <c r="J327" s="25">
        <v>2</v>
      </c>
      <c r="K327" s="25">
        <v>0</v>
      </c>
      <c r="L327" s="25">
        <v>103</v>
      </c>
      <c r="M327" s="18">
        <f t="shared" si="26"/>
        <v>412.5</v>
      </c>
      <c r="N327" s="19">
        <f t="shared" si="27"/>
        <v>45484</v>
      </c>
      <c r="O327" s="18" t="b">
        <f t="shared" si="28"/>
        <v>0</v>
      </c>
      <c r="P327" s="43" t="str">
        <f>IF(O327,swap_curve!$B$19,"")</f>
        <v/>
      </c>
      <c r="Q327" t="str">
        <f t="shared" si="29"/>
        <v/>
      </c>
      <c r="R327" t="str" cm="1">
        <f t="array" ref="R327">IF(O327,BSCall(swap_curve!$B$20,imvol!M327,imvol!P327,imvol!Q327,YEARFRAC(swap_curve!$C$1,imvol!N327)),"")</f>
        <v/>
      </c>
      <c r="S327" s="20" t="str">
        <f t="shared" si="25"/>
        <v/>
      </c>
    </row>
    <row r="328" spans="1:19" x14ac:dyDescent="0.3">
      <c r="A328" s="23" t="s">
        <v>1110</v>
      </c>
      <c r="B328" s="23" t="s">
        <v>1111</v>
      </c>
      <c r="C328" s="24">
        <v>0.46</v>
      </c>
      <c r="D328" s="24">
        <v>0.05</v>
      </c>
      <c r="E328" s="24">
        <v>0.45</v>
      </c>
      <c r="F328" s="24">
        <v>0.46</v>
      </c>
      <c r="G328" s="24">
        <v>0.45</v>
      </c>
      <c r="H328" s="24">
        <v>16.100000000000001</v>
      </c>
      <c r="I328" s="24">
        <v>0.46</v>
      </c>
      <c r="J328" s="25">
        <v>12</v>
      </c>
      <c r="K328" s="25">
        <v>1</v>
      </c>
      <c r="L328" s="25">
        <v>466</v>
      </c>
      <c r="M328" s="18">
        <f t="shared" si="26"/>
        <v>415</v>
      </c>
      <c r="N328" s="19">
        <f t="shared" si="27"/>
        <v>45484</v>
      </c>
      <c r="O328" s="18" t="b">
        <f t="shared" si="28"/>
        <v>0</v>
      </c>
      <c r="P328" s="43" t="str">
        <f>IF(O328,swap_curve!$B$19,"")</f>
        <v/>
      </c>
      <c r="Q328" t="str">
        <f t="shared" si="29"/>
        <v/>
      </c>
      <c r="R328" t="str" cm="1">
        <f t="array" ref="R328">IF(O328,BSCall(swap_curve!$B$20,imvol!M328,imvol!P328,imvol!Q328,YEARFRAC(swap_curve!$C$1,imvol!N328)),"")</f>
        <v/>
      </c>
      <c r="S328" s="20" t="str">
        <f t="shared" si="25"/>
        <v/>
      </c>
    </row>
    <row r="329" spans="1:19" x14ac:dyDescent="0.3">
      <c r="A329" s="23" t="s">
        <v>1112</v>
      </c>
      <c r="B329" s="23" t="s">
        <v>1113</v>
      </c>
      <c r="C329" s="24">
        <v>0.37</v>
      </c>
      <c r="D329" s="24">
        <v>0</v>
      </c>
      <c r="E329" s="24">
        <v>0.37</v>
      </c>
      <c r="F329" s="24">
        <v>0.37</v>
      </c>
      <c r="G329" s="24">
        <v>0.37</v>
      </c>
      <c r="H329" s="24">
        <v>16.5</v>
      </c>
      <c r="I329" s="24">
        <v>0.37</v>
      </c>
      <c r="J329" s="25">
        <v>1</v>
      </c>
      <c r="K329" s="25">
        <v>0</v>
      </c>
      <c r="L329" s="25">
        <v>97</v>
      </c>
      <c r="M329" s="18">
        <f t="shared" si="26"/>
        <v>417.5</v>
      </c>
      <c r="N329" s="19">
        <f t="shared" si="27"/>
        <v>45484</v>
      </c>
      <c r="O329" s="18" t="b">
        <f t="shared" si="28"/>
        <v>0</v>
      </c>
      <c r="P329" s="43" t="str">
        <f>IF(O329,swap_curve!$B$19,"")</f>
        <v/>
      </c>
      <c r="Q329" t="str">
        <f t="shared" si="29"/>
        <v/>
      </c>
      <c r="R329" t="str" cm="1">
        <f t="array" ref="R329">IF(O329,BSCall(swap_curve!$B$20,imvol!M329,imvol!P329,imvol!Q329,YEARFRAC(swap_curve!$C$1,imvol!N329)),"")</f>
        <v/>
      </c>
      <c r="S329" s="20" t="str">
        <f t="shared" si="25"/>
        <v/>
      </c>
    </row>
    <row r="330" spans="1:19" x14ac:dyDescent="0.3">
      <c r="A330" s="23" t="s">
        <v>1114</v>
      </c>
      <c r="B330" s="23" t="s">
        <v>1115</v>
      </c>
      <c r="C330" s="24" t="s">
        <v>23</v>
      </c>
      <c r="D330" s="24" t="s">
        <v>23</v>
      </c>
      <c r="E330" s="24" t="s">
        <v>23</v>
      </c>
      <c r="F330" s="24" t="s">
        <v>23</v>
      </c>
      <c r="G330" s="24" t="s">
        <v>23</v>
      </c>
      <c r="H330" s="24">
        <v>16.600000000000001</v>
      </c>
      <c r="I330" s="24">
        <v>0.35</v>
      </c>
      <c r="J330" s="25">
        <v>0</v>
      </c>
      <c r="K330" s="25">
        <v>0</v>
      </c>
      <c r="L330" s="25">
        <v>204</v>
      </c>
      <c r="M330" s="18">
        <f t="shared" si="26"/>
        <v>420</v>
      </c>
      <c r="N330" s="19">
        <f t="shared" si="27"/>
        <v>45484</v>
      </c>
      <c r="O330" s="18" t="b">
        <f t="shared" si="28"/>
        <v>0</v>
      </c>
      <c r="P330" s="43" t="str">
        <f>IF(O330,swap_curve!$B$19,"")</f>
        <v/>
      </c>
      <c r="Q330" t="str">
        <f t="shared" si="29"/>
        <v/>
      </c>
      <c r="R330" t="str" cm="1">
        <f t="array" ref="R330">IF(O330,BSCall(swap_curve!$B$20,imvol!M330,imvol!P330,imvol!Q330,YEARFRAC(swap_curve!$C$1,imvol!N330)),"")</f>
        <v/>
      </c>
      <c r="S330" s="20" t="str">
        <f t="shared" si="25"/>
        <v/>
      </c>
    </row>
    <row r="331" spans="1:19" x14ac:dyDescent="0.3">
      <c r="A331" s="23" t="s">
        <v>1116</v>
      </c>
      <c r="B331" s="23" t="s">
        <v>1117</v>
      </c>
      <c r="C331" s="24">
        <v>0.3</v>
      </c>
      <c r="D331" s="24">
        <v>0.02</v>
      </c>
      <c r="E331" s="24">
        <v>0.31</v>
      </c>
      <c r="F331" s="24">
        <v>0.31</v>
      </c>
      <c r="G331" s="24">
        <v>0.3</v>
      </c>
      <c r="H331" s="24">
        <v>16.7</v>
      </c>
      <c r="I331" s="24">
        <v>0.3</v>
      </c>
      <c r="J331" s="25">
        <v>6</v>
      </c>
      <c r="K331" s="25">
        <v>0</v>
      </c>
      <c r="L331" s="25">
        <v>49</v>
      </c>
      <c r="M331" s="18">
        <f t="shared" si="26"/>
        <v>422.5</v>
      </c>
      <c r="N331" s="19">
        <f t="shared" si="27"/>
        <v>45484</v>
      </c>
      <c r="O331" s="18" t="b">
        <f t="shared" si="28"/>
        <v>0</v>
      </c>
      <c r="P331" s="43" t="str">
        <f>IF(O331,swap_curve!$B$19,"")</f>
        <v/>
      </c>
      <c r="Q331" t="str">
        <f t="shared" si="29"/>
        <v/>
      </c>
      <c r="R331" t="str" cm="1">
        <f t="array" ref="R331">IF(O331,BSCall(swap_curve!$B$20,imvol!M331,imvol!P331,imvol!Q331,YEARFRAC(swap_curve!$C$1,imvol!N331)),"")</f>
        <v/>
      </c>
      <c r="S331" s="20" t="str">
        <f t="shared" si="25"/>
        <v/>
      </c>
    </row>
    <row r="332" spans="1:19" x14ac:dyDescent="0.3">
      <c r="A332" s="23" t="s">
        <v>1118</v>
      </c>
      <c r="B332" s="23" t="s">
        <v>1119</v>
      </c>
      <c r="C332" s="24">
        <v>0.25</v>
      </c>
      <c r="D332" s="24">
        <v>0.01</v>
      </c>
      <c r="E332" s="24">
        <v>0.25</v>
      </c>
      <c r="F332" s="24">
        <v>0.25</v>
      </c>
      <c r="G332" s="24">
        <v>0.25</v>
      </c>
      <c r="H332" s="24">
        <v>16.7</v>
      </c>
      <c r="I332" s="24">
        <v>0.25</v>
      </c>
      <c r="J332" s="25">
        <v>2</v>
      </c>
      <c r="K332" s="25">
        <v>0</v>
      </c>
      <c r="L332" s="25">
        <v>67</v>
      </c>
      <c r="M332" s="18">
        <f t="shared" si="26"/>
        <v>425</v>
      </c>
      <c r="N332" s="19">
        <f t="shared" si="27"/>
        <v>45484</v>
      </c>
      <c r="O332" s="18" t="b">
        <f t="shared" si="28"/>
        <v>0</v>
      </c>
      <c r="P332" s="43" t="str">
        <f>IF(O332,swap_curve!$B$19,"")</f>
        <v/>
      </c>
      <c r="Q332" t="str">
        <f t="shared" si="29"/>
        <v/>
      </c>
      <c r="R332" t="str" cm="1">
        <f t="array" ref="R332">IF(O332,BSCall(swap_curve!$B$20,imvol!M332,imvol!P332,imvol!Q332,YEARFRAC(swap_curve!$C$1,imvol!N332)),"")</f>
        <v/>
      </c>
      <c r="S332" s="20" t="str">
        <f t="shared" si="25"/>
        <v/>
      </c>
    </row>
    <row r="333" spans="1:19" x14ac:dyDescent="0.3">
      <c r="A333" s="23" t="s">
        <v>1120</v>
      </c>
      <c r="B333" s="23" t="s">
        <v>1121</v>
      </c>
      <c r="C333" s="24">
        <v>0.22</v>
      </c>
      <c r="D333" s="24">
        <v>0.04</v>
      </c>
      <c r="E333" s="24">
        <v>0.22</v>
      </c>
      <c r="F333" s="24">
        <v>0.22</v>
      </c>
      <c r="G333" s="24">
        <v>0.22</v>
      </c>
      <c r="H333" s="24">
        <v>17.100000000000001</v>
      </c>
      <c r="I333" s="24">
        <v>0.22</v>
      </c>
      <c r="J333" s="25">
        <v>1</v>
      </c>
      <c r="K333" s="25">
        <v>0</v>
      </c>
      <c r="L333" s="25">
        <v>28</v>
      </c>
      <c r="M333" s="18">
        <f t="shared" si="26"/>
        <v>427.5</v>
      </c>
      <c r="N333" s="19">
        <f t="shared" si="27"/>
        <v>45484</v>
      </c>
      <c r="O333" s="18" t="b">
        <f t="shared" si="28"/>
        <v>0</v>
      </c>
      <c r="P333" s="43" t="str">
        <f>IF(O333,swap_curve!$B$19,"")</f>
        <v/>
      </c>
      <c r="Q333" t="str">
        <f t="shared" si="29"/>
        <v/>
      </c>
      <c r="R333" t="str" cm="1">
        <f t="array" ref="R333">IF(O333,BSCall(swap_curve!$B$20,imvol!M333,imvol!P333,imvol!Q333,YEARFRAC(swap_curve!$C$1,imvol!N333)),"")</f>
        <v/>
      </c>
      <c r="S333" s="20" t="str">
        <f t="shared" si="25"/>
        <v/>
      </c>
    </row>
    <row r="334" spans="1:19" x14ac:dyDescent="0.3">
      <c r="A334" s="23" t="s">
        <v>1122</v>
      </c>
      <c r="B334" s="23" t="s">
        <v>1123</v>
      </c>
      <c r="C334" s="24">
        <v>0.2</v>
      </c>
      <c r="D334" s="24">
        <v>0.02</v>
      </c>
      <c r="E334" s="24">
        <v>0.21</v>
      </c>
      <c r="F334" s="24">
        <v>0.21</v>
      </c>
      <c r="G334" s="24">
        <v>0.2</v>
      </c>
      <c r="H334" s="24">
        <v>17.399999999999999</v>
      </c>
      <c r="I334" s="24">
        <v>0.2</v>
      </c>
      <c r="J334" s="25">
        <v>3</v>
      </c>
      <c r="K334" s="25">
        <v>0</v>
      </c>
      <c r="L334" s="25">
        <v>74</v>
      </c>
      <c r="M334" s="18">
        <f t="shared" si="26"/>
        <v>430</v>
      </c>
      <c r="N334" s="19">
        <f t="shared" si="27"/>
        <v>45484</v>
      </c>
      <c r="O334" s="18" t="b">
        <f t="shared" si="28"/>
        <v>0</v>
      </c>
      <c r="P334" s="43" t="str">
        <f>IF(O334,swap_curve!$B$19,"")</f>
        <v/>
      </c>
      <c r="Q334" t="str">
        <f t="shared" si="29"/>
        <v/>
      </c>
      <c r="R334" t="str" cm="1">
        <f t="array" ref="R334">IF(O334,BSCall(swap_curve!$B$20,imvol!M334,imvol!P334,imvol!Q334,YEARFRAC(swap_curve!$C$1,imvol!N334)),"")</f>
        <v/>
      </c>
      <c r="S334" s="20" t="str">
        <f t="shared" si="25"/>
        <v/>
      </c>
    </row>
    <row r="335" spans="1:19" x14ac:dyDescent="0.3">
      <c r="A335" s="23" t="s">
        <v>1124</v>
      </c>
      <c r="B335" s="23" t="s">
        <v>1125</v>
      </c>
      <c r="C335" s="24">
        <v>0.16</v>
      </c>
      <c r="D335" s="24">
        <v>0</v>
      </c>
      <c r="E335" s="24">
        <v>0.16</v>
      </c>
      <c r="F335" s="24">
        <v>0.16</v>
      </c>
      <c r="G335" s="24">
        <v>0.16</v>
      </c>
      <c r="H335" s="24">
        <v>17.3</v>
      </c>
      <c r="I335" s="24">
        <v>0.16</v>
      </c>
      <c r="J335" s="25">
        <v>1</v>
      </c>
      <c r="K335" s="25">
        <v>0</v>
      </c>
      <c r="L335" s="25">
        <v>18</v>
      </c>
      <c r="M335" s="18">
        <f t="shared" si="26"/>
        <v>432.5</v>
      </c>
      <c r="N335" s="19">
        <f t="shared" si="27"/>
        <v>45484</v>
      </c>
      <c r="O335" s="18" t="b">
        <f t="shared" si="28"/>
        <v>0</v>
      </c>
      <c r="P335" s="43" t="str">
        <f>IF(O335,swap_curve!$B$19,"")</f>
        <v/>
      </c>
      <c r="Q335" t="str">
        <f t="shared" si="29"/>
        <v/>
      </c>
      <c r="R335" t="str" cm="1">
        <f t="array" ref="R335">IF(O335,BSCall(swap_curve!$B$20,imvol!M335,imvol!P335,imvol!Q335,YEARFRAC(swap_curve!$C$1,imvol!N335)),"")</f>
        <v/>
      </c>
      <c r="S335" s="20" t="str">
        <f t="shared" si="25"/>
        <v/>
      </c>
    </row>
    <row r="336" spans="1:19" x14ac:dyDescent="0.3">
      <c r="A336" s="23" t="s">
        <v>1126</v>
      </c>
      <c r="B336" s="23" t="s">
        <v>1127</v>
      </c>
      <c r="C336" s="24">
        <v>0.14000000000000001</v>
      </c>
      <c r="D336" s="24">
        <v>0.02</v>
      </c>
      <c r="E336" s="24">
        <v>0.14000000000000001</v>
      </c>
      <c r="F336" s="24">
        <v>0.14000000000000001</v>
      </c>
      <c r="G336" s="24">
        <v>0.14000000000000001</v>
      </c>
      <c r="H336" s="24">
        <v>17.399999999999999</v>
      </c>
      <c r="I336" s="24">
        <v>0.14000000000000001</v>
      </c>
      <c r="J336" s="25">
        <v>1</v>
      </c>
      <c r="K336" s="25">
        <v>0</v>
      </c>
      <c r="L336" s="25">
        <v>40</v>
      </c>
      <c r="M336" s="18">
        <f t="shared" si="26"/>
        <v>435</v>
      </c>
      <c r="N336" s="19">
        <f t="shared" si="27"/>
        <v>45484</v>
      </c>
      <c r="O336" s="18" t="b">
        <f t="shared" si="28"/>
        <v>0</v>
      </c>
      <c r="P336" s="43" t="str">
        <f>IF(O336,swap_curve!$B$19,"")</f>
        <v/>
      </c>
      <c r="Q336" t="str">
        <f t="shared" si="29"/>
        <v/>
      </c>
      <c r="R336" t="str" cm="1">
        <f t="array" ref="R336">IF(O336,BSCall(swap_curve!$B$20,imvol!M336,imvol!P336,imvol!Q336,YEARFRAC(swap_curve!$C$1,imvol!N336)),"")</f>
        <v/>
      </c>
      <c r="S336" s="20" t="str">
        <f t="shared" si="25"/>
        <v/>
      </c>
    </row>
    <row r="337" spans="1:19" x14ac:dyDescent="0.3">
      <c r="A337" s="23" t="s">
        <v>1128</v>
      </c>
      <c r="B337" s="23" t="s">
        <v>1129</v>
      </c>
      <c r="C337" s="24">
        <v>0.12</v>
      </c>
      <c r="D337" s="24">
        <v>0.02</v>
      </c>
      <c r="E337" s="24">
        <v>0.12</v>
      </c>
      <c r="F337" s="24">
        <v>0.12</v>
      </c>
      <c r="G337" s="24">
        <v>0.12</v>
      </c>
      <c r="H337" s="24">
        <v>17.600000000000001</v>
      </c>
      <c r="I337" s="24">
        <v>0.12</v>
      </c>
      <c r="J337" s="25">
        <v>1</v>
      </c>
      <c r="K337" s="25">
        <v>0</v>
      </c>
      <c r="L337" s="25">
        <v>8</v>
      </c>
      <c r="M337" s="18">
        <f t="shared" si="26"/>
        <v>437.5</v>
      </c>
      <c r="N337" s="19">
        <f t="shared" si="27"/>
        <v>45484</v>
      </c>
      <c r="O337" s="18" t="b">
        <f t="shared" si="28"/>
        <v>0</v>
      </c>
      <c r="P337" s="43" t="str">
        <f>IF(O337,swap_curve!$B$19,"")</f>
        <v/>
      </c>
      <c r="Q337" t="str">
        <f t="shared" si="29"/>
        <v/>
      </c>
      <c r="R337" t="str" cm="1">
        <f t="array" ref="R337">IF(O337,BSCall(swap_curve!$B$20,imvol!M337,imvol!P337,imvol!Q337,YEARFRAC(swap_curve!$C$1,imvol!N337)),"")</f>
        <v/>
      </c>
      <c r="S337" s="20" t="str">
        <f t="shared" si="25"/>
        <v/>
      </c>
    </row>
    <row r="338" spans="1:19" x14ac:dyDescent="0.3">
      <c r="A338" s="23" t="s">
        <v>1130</v>
      </c>
      <c r="B338" s="23" t="s">
        <v>1131</v>
      </c>
      <c r="C338" s="24">
        <v>0.11</v>
      </c>
      <c r="D338" s="24">
        <v>0.02</v>
      </c>
      <c r="E338" s="24">
        <v>0.09</v>
      </c>
      <c r="F338" s="24">
        <v>0.11</v>
      </c>
      <c r="G338" s="24">
        <v>0.09</v>
      </c>
      <c r="H338" s="24">
        <v>17.899999999999999</v>
      </c>
      <c r="I338" s="24">
        <v>0.11</v>
      </c>
      <c r="J338" s="25">
        <v>3</v>
      </c>
      <c r="K338" s="25">
        <v>0</v>
      </c>
      <c r="L338" s="25">
        <v>106</v>
      </c>
      <c r="M338" s="18">
        <f t="shared" si="26"/>
        <v>440</v>
      </c>
      <c r="N338" s="19">
        <f t="shared" si="27"/>
        <v>45484</v>
      </c>
      <c r="O338" s="18" t="b">
        <f t="shared" si="28"/>
        <v>0</v>
      </c>
      <c r="P338" s="43" t="str">
        <f>IF(O338,swap_curve!$B$19,"")</f>
        <v/>
      </c>
      <c r="Q338" t="str">
        <f t="shared" si="29"/>
        <v/>
      </c>
      <c r="R338" t="str" cm="1">
        <f t="array" ref="R338">IF(O338,BSCall(swap_curve!$B$20,imvol!M338,imvol!P338,imvol!Q338,YEARFRAC(swap_curve!$C$1,imvol!N338)),"")</f>
        <v/>
      </c>
      <c r="S338" s="20" t="str">
        <f t="shared" si="25"/>
        <v/>
      </c>
    </row>
    <row r="339" spans="1:19" x14ac:dyDescent="0.3">
      <c r="A339" s="23" t="s">
        <v>1132</v>
      </c>
      <c r="B339" s="23" t="s">
        <v>1133</v>
      </c>
      <c r="C339" s="24">
        <v>0.1</v>
      </c>
      <c r="D339" s="24">
        <v>0.02</v>
      </c>
      <c r="E339" s="24">
        <v>0.1</v>
      </c>
      <c r="F339" s="24">
        <v>0.1</v>
      </c>
      <c r="G339" s="24">
        <v>0.1</v>
      </c>
      <c r="H339" s="24">
        <v>18.3</v>
      </c>
      <c r="I339" s="24">
        <v>0.1</v>
      </c>
      <c r="J339" s="25">
        <v>1</v>
      </c>
      <c r="K339" s="25">
        <v>0</v>
      </c>
      <c r="L339" s="25">
        <v>12</v>
      </c>
      <c r="M339" s="18">
        <f t="shared" si="26"/>
        <v>442.5</v>
      </c>
      <c r="N339" s="19">
        <f t="shared" si="27"/>
        <v>45484</v>
      </c>
      <c r="O339" s="18" t="b">
        <f t="shared" si="28"/>
        <v>0</v>
      </c>
      <c r="P339" s="43" t="str">
        <f>IF(O339,swap_curve!$B$19,"")</f>
        <v/>
      </c>
      <c r="Q339" t="str">
        <f t="shared" si="29"/>
        <v/>
      </c>
      <c r="R339" t="str" cm="1">
        <f t="array" ref="R339">IF(O339,BSCall(swap_curve!$B$20,imvol!M339,imvol!P339,imvol!Q339,YEARFRAC(swap_curve!$C$1,imvol!N339)),"")</f>
        <v/>
      </c>
      <c r="S339" s="20" t="str">
        <f t="shared" si="25"/>
        <v/>
      </c>
    </row>
    <row r="340" spans="1:19" x14ac:dyDescent="0.3">
      <c r="A340" s="23" t="s">
        <v>1134</v>
      </c>
      <c r="B340" s="23" t="s">
        <v>1135</v>
      </c>
      <c r="C340" s="24" t="s">
        <v>23</v>
      </c>
      <c r="D340" s="24" t="s">
        <v>23</v>
      </c>
      <c r="E340" s="24" t="s">
        <v>23</v>
      </c>
      <c r="F340" s="24" t="s">
        <v>23</v>
      </c>
      <c r="G340" s="24" t="s">
        <v>23</v>
      </c>
      <c r="H340" s="24">
        <v>18.45</v>
      </c>
      <c r="I340" s="24">
        <v>0.09</v>
      </c>
      <c r="J340" s="25">
        <v>0</v>
      </c>
      <c r="K340" s="25">
        <v>0</v>
      </c>
      <c r="L340" s="25">
        <v>33</v>
      </c>
      <c r="M340" s="18">
        <f t="shared" si="26"/>
        <v>445</v>
      </c>
      <c r="N340" s="19">
        <f t="shared" si="27"/>
        <v>45484</v>
      </c>
      <c r="O340" s="18" t="b">
        <f t="shared" si="28"/>
        <v>0</v>
      </c>
      <c r="P340" s="43" t="str">
        <f>IF(O340,swap_curve!$B$19,"")</f>
        <v/>
      </c>
      <c r="Q340" t="str">
        <f t="shared" si="29"/>
        <v/>
      </c>
      <c r="R340" t="str" cm="1">
        <f t="array" ref="R340">IF(O340,BSCall(swap_curve!$B$20,imvol!M340,imvol!P340,imvol!Q340,YEARFRAC(swap_curve!$C$1,imvol!N340)),"")</f>
        <v/>
      </c>
      <c r="S340" s="20" t="str">
        <f t="shared" si="25"/>
        <v/>
      </c>
    </row>
    <row r="341" spans="1:19" x14ac:dyDescent="0.3">
      <c r="A341" s="23" t="s">
        <v>1136</v>
      </c>
      <c r="B341" s="23" t="s">
        <v>1137</v>
      </c>
      <c r="C341" s="24">
        <v>0.08</v>
      </c>
      <c r="D341" s="24">
        <v>0.02</v>
      </c>
      <c r="E341" s="24">
        <v>0.08</v>
      </c>
      <c r="F341" s="24">
        <v>0.08</v>
      </c>
      <c r="G341" s="24">
        <v>0.08</v>
      </c>
      <c r="H341" s="24">
        <v>18.600000000000001</v>
      </c>
      <c r="I341" s="24">
        <v>0.08</v>
      </c>
      <c r="J341" s="25">
        <v>1</v>
      </c>
      <c r="K341" s="25">
        <v>0</v>
      </c>
      <c r="L341" s="25">
        <v>9</v>
      </c>
      <c r="M341" s="18">
        <f t="shared" si="26"/>
        <v>447.5</v>
      </c>
      <c r="N341" s="19">
        <f t="shared" si="27"/>
        <v>45484</v>
      </c>
      <c r="O341" s="18" t="b">
        <f t="shared" si="28"/>
        <v>0</v>
      </c>
      <c r="P341" s="43" t="str">
        <f>IF(O341,swap_curve!$B$19,"")</f>
        <v/>
      </c>
      <c r="Q341" t="str">
        <f t="shared" si="29"/>
        <v/>
      </c>
      <c r="R341" t="str" cm="1">
        <f t="array" ref="R341">IF(O341,BSCall(swap_curve!$B$20,imvol!M341,imvol!P341,imvol!Q341,YEARFRAC(swap_curve!$C$1,imvol!N341)),"")</f>
        <v/>
      </c>
      <c r="S341" s="20" t="str">
        <f t="shared" si="25"/>
        <v/>
      </c>
    </row>
    <row r="342" spans="1:19" x14ac:dyDescent="0.3">
      <c r="A342" s="23" t="s">
        <v>1138</v>
      </c>
      <c r="B342" s="23" t="s">
        <v>1139</v>
      </c>
      <c r="C342" s="24" t="s">
        <v>23</v>
      </c>
      <c r="D342" s="24" t="s">
        <v>23</v>
      </c>
      <c r="E342" s="24" t="s">
        <v>23</v>
      </c>
      <c r="F342" s="24" t="s">
        <v>23</v>
      </c>
      <c r="G342" s="24" t="s">
        <v>23</v>
      </c>
      <c r="H342" s="24">
        <v>18.7</v>
      </c>
      <c r="I342" s="24">
        <v>7.0000000000000007E-2</v>
      </c>
      <c r="J342" s="25">
        <v>0</v>
      </c>
      <c r="K342" s="25">
        <v>0</v>
      </c>
      <c r="L342" s="25">
        <v>110</v>
      </c>
      <c r="M342" s="18">
        <f t="shared" si="26"/>
        <v>450</v>
      </c>
      <c r="N342" s="19">
        <f t="shared" si="27"/>
        <v>45484</v>
      </c>
      <c r="O342" s="18" t="b">
        <f t="shared" si="28"/>
        <v>0</v>
      </c>
      <c r="P342" s="43" t="str">
        <f>IF(O342,swap_curve!$B$19,"")</f>
        <v/>
      </c>
      <c r="Q342" t="str">
        <f t="shared" si="29"/>
        <v/>
      </c>
      <c r="R342" t="str" cm="1">
        <f t="array" ref="R342">IF(O342,BSCall(swap_curve!$B$20,imvol!M342,imvol!P342,imvol!Q342,YEARFRAC(swap_curve!$C$1,imvol!N342)),"")</f>
        <v/>
      </c>
      <c r="S342" s="20" t="str">
        <f t="shared" si="25"/>
        <v/>
      </c>
    </row>
    <row r="343" spans="1:19" x14ac:dyDescent="0.3">
      <c r="A343" s="23" t="s">
        <v>1140</v>
      </c>
      <c r="B343" s="23" t="s">
        <v>1141</v>
      </c>
      <c r="C343" s="24">
        <v>0.06</v>
      </c>
      <c r="D343" s="24">
        <v>0.01</v>
      </c>
      <c r="E343" s="24">
        <v>0.05</v>
      </c>
      <c r="F343" s="24">
        <v>0.06</v>
      </c>
      <c r="G343" s="24">
        <v>0.05</v>
      </c>
      <c r="H343" s="24">
        <v>18.8</v>
      </c>
      <c r="I343" s="24">
        <v>0.06</v>
      </c>
      <c r="J343" s="25">
        <v>2</v>
      </c>
      <c r="K343" s="25">
        <v>0</v>
      </c>
      <c r="L343" s="25">
        <v>14</v>
      </c>
      <c r="M343" s="18">
        <f t="shared" si="26"/>
        <v>452.5</v>
      </c>
      <c r="N343" s="19">
        <f t="shared" si="27"/>
        <v>45484</v>
      </c>
      <c r="O343" s="18" t="b">
        <f t="shared" si="28"/>
        <v>0</v>
      </c>
      <c r="P343" s="43" t="str">
        <f>IF(O343,swap_curve!$B$19,"")</f>
        <v/>
      </c>
      <c r="Q343" t="str">
        <f t="shared" si="29"/>
        <v/>
      </c>
      <c r="R343" t="str" cm="1">
        <f t="array" ref="R343">IF(O343,BSCall(swap_curve!$B$20,imvol!M343,imvol!P343,imvol!Q343,YEARFRAC(swap_curve!$C$1,imvol!N343)),"")</f>
        <v/>
      </c>
      <c r="S343" s="20" t="str">
        <f t="shared" si="25"/>
        <v/>
      </c>
    </row>
    <row r="344" spans="1:19" x14ac:dyDescent="0.3">
      <c r="A344" s="23" t="s">
        <v>1142</v>
      </c>
      <c r="B344" s="23" t="s">
        <v>1143</v>
      </c>
      <c r="C344" s="24">
        <v>0.05</v>
      </c>
      <c r="D344" s="24">
        <v>0.01</v>
      </c>
      <c r="E344" s="24">
        <v>0.05</v>
      </c>
      <c r="F344" s="24">
        <v>0.05</v>
      </c>
      <c r="G344" s="24">
        <v>0.04</v>
      </c>
      <c r="H344" s="24">
        <v>18.8</v>
      </c>
      <c r="I344" s="24">
        <v>0.05</v>
      </c>
      <c r="J344" s="25">
        <v>5</v>
      </c>
      <c r="K344" s="25">
        <v>0</v>
      </c>
      <c r="L344" s="25">
        <v>14</v>
      </c>
      <c r="M344" s="18">
        <f t="shared" si="26"/>
        <v>455</v>
      </c>
      <c r="N344" s="19">
        <f t="shared" si="27"/>
        <v>45484</v>
      </c>
      <c r="O344" s="18" t="b">
        <f t="shared" si="28"/>
        <v>0</v>
      </c>
      <c r="P344" s="43" t="str">
        <f>IF(O344,swap_curve!$B$19,"")</f>
        <v/>
      </c>
      <c r="Q344" t="str">
        <f t="shared" si="29"/>
        <v/>
      </c>
      <c r="R344" t="str" cm="1">
        <f t="array" ref="R344">IF(O344,BSCall(swap_curve!$B$20,imvol!M344,imvol!P344,imvol!Q344,YEARFRAC(swap_curve!$C$1,imvol!N344)),"")</f>
        <v/>
      </c>
      <c r="S344" s="20" t="str">
        <f t="shared" si="25"/>
        <v/>
      </c>
    </row>
    <row r="345" spans="1:19" x14ac:dyDescent="0.3">
      <c r="A345" s="23" t="s">
        <v>1144</v>
      </c>
      <c r="B345" s="23" t="s">
        <v>1145</v>
      </c>
      <c r="C345" s="24">
        <v>0.04</v>
      </c>
      <c r="D345" s="24">
        <v>0</v>
      </c>
      <c r="E345" s="24">
        <v>0.04</v>
      </c>
      <c r="F345" s="24">
        <v>0.04</v>
      </c>
      <c r="G345" s="24">
        <v>0.04</v>
      </c>
      <c r="H345" s="24">
        <v>19.100000000000001</v>
      </c>
      <c r="I345" s="24">
        <v>0.04</v>
      </c>
      <c r="J345" s="25">
        <v>4</v>
      </c>
      <c r="K345" s="25">
        <v>0</v>
      </c>
      <c r="L345" s="25">
        <v>18</v>
      </c>
      <c r="M345" s="18">
        <f t="shared" si="26"/>
        <v>457.5</v>
      </c>
      <c r="N345" s="19">
        <f t="shared" si="27"/>
        <v>45484</v>
      </c>
      <c r="O345" s="18" t="b">
        <f t="shared" si="28"/>
        <v>0</v>
      </c>
      <c r="P345" s="43" t="str">
        <f>IF(O345,swap_curve!$B$19,"")</f>
        <v/>
      </c>
      <c r="Q345" t="str">
        <f t="shared" si="29"/>
        <v/>
      </c>
      <c r="R345" t="str" cm="1">
        <f t="array" ref="R345">IF(O345,BSCall(swap_curve!$B$20,imvol!M345,imvol!P345,imvol!Q345,YEARFRAC(swap_curve!$C$1,imvol!N345)),"")</f>
        <v/>
      </c>
      <c r="S345" s="20" t="str">
        <f t="shared" si="25"/>
        <v/>
      </c>
    </row>
    <row r="346" spans="1:19" x14ac:dyDescent="0.3">
      <c r="A346" s="23" t="s">
        <v>1146</v>
      </c>
      <c r="B346" s="23" t="s">
        <v>1147</v>
      </c>
      <c r="C346" s="24" t="s">
        <v>23</v>
      </c>
      <c r="D346" s="24" t="s">
        <v>23</v>
      </c>
      <c r="E346" s="24" t="s">
        <v>23</v>
      </c>
      <c r="F346" s="24" t="s">
        <v>23</v>
      </c>
      <c r="G346" s="24" t="s">
        <v>23</v>
      </c>
      <c r="H346" s="24">
        <v>19.28</v>
      </c>
      <c r="I346" s="24">
        <v>0.04</v>
      </c>
      <c r="J346" s="25">
        <v>0</v>
      </c>
      <c r="K346" s="25">
        <v>0</v>
      </c>
      <c r="L346" s="25">
        <v>28</v>
      </c>
      <c r="M346" s="18">
        <f t="shared" si="26"/>
        <v>460</v>
      </c>
      <c r="N346" s="19">
        <f t="shared" si="27"/>
        <v>45484</v>
      </c>
      <c r="O346" s="18" t="b">
        <f t="shared" si="28"/>
        <v>0</v>
      </c>
      <c r="P346" s="43" t="str">
        <f>IF(O346,swap_curve!$B$19,"")</f>
        <v/>
      </c>
      <c r="Q346" t="str">
        <f t="shared" si="29"/>
        <v/>
      </c>
      <c r="R346" t="str" cm="1">
        <f t="array" ref="R346">IF(O346,BSCall(swap_curve!$B$20,imvol!M346,imvol!P346,imvol!Q346,YEARFRAC(swap_curve!$C$1,imvol!N346)),"")</f>
        <v/>
      </c>
      <c r="S346" s="20" t="str">
        <f t="shared" si="25"/>
        <v/>
      </c>
    </row>
    <row r="347" spans="1:19" x14ac:dyDescent="0.3">
      <c r="A347" s="23" t="s">
        <v>1148</v>
      </c>
      <c r="B347" s="23" t="s">
        <v>1149</v>
      </c>
      <c r="C347" s="24" t="s">
        <v>23</v>
      </c>
      <c r="D347" s="24" t="s">
        <v>23</v>
      </c>
      <c r="E347" s="24" t="s">
        <v>23</v>
      </c>
      <c r="F347" s="24" t="s">
        <v>23</v>
      </c>
      <c r="G347" s="24" t="s">
        <v>23</v>
      </c>
      <c r="H347" s="24">
        <v>19.46</v>
      </c>
      <c r="I347" s="24">
        <v>0.03</v>
      </c>
      <c r="J347" s="25">
        <v>0</v>
      </c>
      <c r="K347" s="25">
        <v>0</v>
      </c>
      <c r="L347" s="25">
        <v>2</v>
      </c>
      <c r="M347" s="18">
        <f t="shared" si="26"/>
        <v>462.5</v>
      </c>
      <c r="N347" s="19">
        <f t="shared" si="27"/>
        <v>45484</v>
      </c>
      <c r="O347" s="18" t="b">
        <f t="shared" si="28"/>
        <v>0</v>
      </c>
      <c r="P347" s="43" t="str">
        <f>IF(O347,swap_curve!$B$19,"")</f>
        <v/>
      </c>
      <c r="Q347" t="str">
        <f t="shared" si="29"/>
        <v/>
      </c>
      <c r="R347" t="str" cm="1">
        <f t="array" ref="R347">IF(O347,BSCall(swap_curve!$B$20,imvol!M347,imvol!P347,imvol!Q347,YEARFRAC(swap_curve!$C$1,imvol!N347)),"")</f>
        <v/>
      </c>
      <c r="S347" s="20" t="str">
        <f t="shared" si="25"/>
        <v/>
      </c>
    </row>
    <row r="348" spans="1:19" x14ac:dyDescent="0.3">
      <c r="A348" s="23" t="s">
        <v>1150</v>
      </c>
      <c r="B348" s="23" t="s">
        <v>1151</v>
      </c>
      <c r="C348" s="24" t="s">
        <v>23</v>
      </c>
      <c r="D348" s="24" t="s">
        <v>23</v>
      </c>
      <c r="E348" s="24" t="s">
        <v>23</v>
      </c>
      <c r="F348" s="24" t="s">
        <v>23</v>
      </c>
      <c r="G348" s="24" t="s">
        <v>23</v>
      </c>
      <c r="H348" s="24">
        <v>19.64</v>
      </c>
      <c r="I348" s="24">
        <v>0.03</v>
      </c>
      <c r="J348" s="25">
        <v>0</v>
      </c>
      <c r="K348" s="25">
        <v>0</v>
      </c>
      <c r="L348" s="25">
        <v>8</v>
      </c>
      <c r="M348" s="18">
        <f t="shared" si="26"/>
        <v>465</v>
      </c>
      <c r="N348" s="19">
        <f t="shared" si="27"/>
        <v>45484</v>
      </c>
      <c r="O348" s="18" t="b">
        <f t="shared" si="28"/>
        <v>0</v>
      </c>
      <c r="P348" s="43" t="str">
        <f>IF(O348,swap_curve!$B$19,"")</f>
        <v/>
      </c>
      <c r="Q348" t="str">
        <f t="shared" si="29"/>
        <v/>
      </c>
      <c r="R348" t="str" cm="1">
        <f t="array" ref="R348">IF(O348,BSCall(swap_curve!$B$20,imvol!M348,imvol!P348,imvol!Q348,YEARFRAC(swap_curve!$C$1,imvol!N348)),"")</f>
        <v/>
      </c>
      <c r="S348" s="20" t="str">
        <f t="shared" si="25"/>
        <v/>
      </c>
    </row>
    <row r="349" spans="1:19" x14ac:dyDescent="0.3">
      <c r="A349" s="23" t="s">
        <v>1152</v>
      </c>
      <c r="B349" s="23" t="s">
        <v>1153</v>
      </c>
      <c r="C349" s="24" t="s">
        <v>23</v>
      </c>
      <c r="D349" s="24" t="s">
        <v>23</v>
      </c>
      <c r="E349" s="24" t="s">
        <v>23</v>
      </c>
      <c r="F349" s="24" t="s">
        <v>23</v>
      </c>
      <c r="G349" s="24" t="s">
        <v>23</v>
      </c>
      <c r="H349" s="24">
        <v>19.82</v>
      </c>
      <c r="I349" s="24">
        <v>0.03</v>
      </c>
      <c r="J349" s="25">
        <v>0</v>
      </c>
      <c r="K349" s="25">
        <v>0</v>
      </c>
      <c r="L349" s="25">
        <v>2</v>
      </c>
      <c r="M349" s="18">
        <f t="shared" si="26"/>
        <v>467.5</v>
      </c>
      <c r="N349" s="19">
        <f t="shared" si="27"/>
        <v>45484</v>
      </c>
      <c r="O349" s="18" t="b">
        <f t="shared" si="28"/>
        <v>0</v>
      </c>
      <c r="P349" s="43" t="str">
        <f>IF(O349,swap_curve!$B$19,"")</f>
        <v/>
      </c>
      <c r="Q349" t="str">
        <f t="shared" si="29"/>
        <v/>
      </c>
      <c r="R349" t="str" cm="1">
        <f t="array" ref="R349">IF(O349,BSCall(swap_curve!$B$20,imvol!M349,imvol!P349,imvol!Q349,YEARFRAC(swap_curve!$C$1,imvol!N349)),"")</f>
        <v/>
      </c>
      <c r="S349" s="20" t="str">
        <f t="shared" si="25"/>
        <v/>
      </c>
    </row>
    <row r="350" spans="1:19" x14ac:dyDescent="0.3">
      <c r="A350" s="23" t="s">
        <v>1154</v>
      </c>
      <c r="B350" s="23" t="s">
        <v>1155</v>
      </c>
      <c r="C350" s="24" t="s">
        <v>23</v>
      </c>
      <c r="D350" s="24" t="s">
        <v>23</v>
      </c>
      <c r="E350" s="24" t="s">
        <v>23</v>
      </c>
      <c r="F350" s="24" t="s">
        <v>23</v>
      </c>
      <c r="G350" s="24" t="s">
        <v>23</v>
      </c>
      <c r="H350" s="24">
        <v>20</v>
      </c>
      <c r="I350" s="24">
        <v>0.03</v>
      </c>
      <c r="J350" s="25">
        <v>0</v>
      </c>
      <c r="K350" s="25">
        <v>0</v>
      </c>
      <c r="L350" s="25">
        <v>6</v>
      </c>
      <c r="M350" s="18">
        <f t="shared" si="26"/>
        <v>470</v>
      </c>
      <c r="N350" s="19">
        <f t="shared" si="27"/>
        <v>45484</v>
      </c>
      <c r="O350" s="18" t="b">
        <f t="shared" si="28"/>
        <v>0</v>
      </c>
      <c r="P350" s="43" t="str">
        <f>IF(O350,swap_curve!$B$19,"")</f>
        <v/>
      </c>
      <c r="Q350" t="str">
        <f t="shared" si="29"/>
        <v/>
      </c>
      <c r="R350" t="str" cm="1">
        <f t="array" ref="R350">IF(O350,BSCall(swap_curve!$B$20,imvol!M350,imvol!P350,imvol!Q350,YEARFRAC(swap_curve!$C$1,imvol!N350)),"")</f>
        <v/>
      </c>
      <c r="S350" s="20" t="str">
        <f t="shared" si="25"/>
        <v/>
      </c>
    </row>
    <row r="351" spans="1:19" x14ac:dyDescent="0.3">
      <c r="A351" s="23" t="s">
        <v>1156</v>
      </c>
      <c r="B351" s="23" t="s">
        <v>1157</v>
      </c>
      <c r="C351" s="24" t="s">
        <v>23</v>
      </c>
      <c r="D351" s="24" t="s">
        <v>23</v>
      </c>
      <c r="E351" s="24" t="s">
        <v>23</v>
      </c>
      <c r="F351" s="24" t="s">
        <v>23</v>
      </c>
      <c r="G351" s="24" t="s">
        <v>23</v>
      </c>
      <c r="H351" s="24">
        <v>20.170000000000002</v>
      </c>
      <c r="I351" s="24">
        <v>0.02</v>
      </c>
      <c r="J351" s="25">
        <v>0</v>
      </c>
      <c r="K351" s="25">
        <v>0</v>
      </c>
      <c r="L351" s="25">
        <v>1</v>
      </c>
      <c r="M351" s="18">
        <f t="shared" si="26"/>
        <v>472.5</v>
      </c>
      <c r="N351" s="19">
        <f t="shared" si="27"/>
        <v>45484</v>
      </c>
      <c r="O351" s="18" t="b">
        <f t="shared" si="28"/>
        <v>0</v>
      </c>
      <c r="P351" s="43" t="str">
        <f>IF(O351,swap_curve!$B$19,"")</f>
        <v/>
      </c>
      <c r="Q351" t="str">
        <f t="shared" si="29"/>
        <v/>
      </c>
      <c r="R351" t="str" cm="1">
        <f t="array" ref="R351">IF(O351,BSCall(swap_curve!$B$20,imvol!M351,imvol!P351,imvol!Q351,YEARFRAC(swap_curve!$C$1,imvol!N351)),"")</f>
        <v/>
      </c>
      <c r="S351" s="20" t="str">
        <f t="shared" si="25"/>
        <v/>
      </c>
    </row>
    <row r="352" spans="1:19" x14ac:dyDescent="0.3">
      <c r="A352" s="23" t="s">
        <v>1158</v>
      </c>
      <c r="B352" s="23" t="s">
        <v>1159</v>
      </c>
      <c r="C352" s="24" t="s">
        <v>23</v>
      </c>
      <c r="D352" s="24" t="s">
        <v>23</v>
      </c>
      <c r="E352" s="24" t="s">
        <v>23</v>
      </c>
      <c r="F352" s="24" t="s">
        <v>23</v>
      </c>
      <c r="G352" s="24" t="s">
        <v>23</v>
      </c>
      <c r="H352" s="24">
        <v>20.36</v>
      </c>
      <c r="I352" s="24">
        <v>0.02</v>
      </c>
      <c r="J352" s="25">
        <v>0</v>
      </c>
      <c r="K352" s="25">
        <v>0</v>
      </c>
      <c r="L352" s="25">
        <v>11</v>
      </c>
      <c r="M352" s="18">
        <f t="shared" si="26"/>
        <v>475</v>
      </c>
      <c r="N352" s="19">
        <f t="shared" si="27"/>
        <v>45484</v>
      </c>
      <c r="O352" s="18" t="b">
        <f t="shared" si="28"/>
        <v>0</v>
      </c>
      <c r="P352" s="43" t="str">
        <f>IF(O352,swap_curve!$B$19,"")</f>
        <v/>
      </c>
      <c r="Q352" t="str">
        <f t="shared" si="29"/>
        <v/>
      </c>
      <c r="R352" t="str" cm="1">
        <f t="array" ref="R352">IF(O352,BSCall(swap_curve!$B$20,imvol!M352,imvol!P352,imvol!Q352,YEARFRAC(swap_curve!$C$1,imvol!N352)),"")</f>
        <v/>
      </c>
      <c r="S352" s="20" t="str">
        <f t="shared" si="25"/>
        <v/>
      </c>
    </row>
    <row r="353" spans="1:19" x14ac:dyDescent="0.3">
      <c r="A353" s="23" t="s">
        <v>1160</v>
      </c>
      <c r="B353" s="23" t="s">
        <v>1161</v>
      </c>
      <c r="C353" s="24" t="s">
        <v>23</v>
      </c>
      <c r="D353" s="24" t="s">
        <v>23</v>
      </c>
      <c r="E353" s="24" t="s">
        <v>23</v>
      </c>
      <c r="F353" s="24" t="s">
        <v>23</v>
      </c>
      <c r="G353" s="24" t="s">
        <v>23</v>
      </c>
      <c r="H353" s="24">
        <v>20.54</v>
      </c>
      <c r="I353" s="24">
        <v>0.02</v>
      </c>
      <c r="J353" s="25">
        <v>0</v>
      </c>
      <c r="K353" s="25">
        <v>0</v>
      </c>
      <c r="L353" s="25">
        <v>1</v>
      </c>
      <c r="M353" s="18">
        <f t="shared" si="26"/>
        <v>477.5</v>
      </c>
      <c r="N353" s="19">
        <f t="shared" si="27"/>
        <v>45484</v>
      </c>
      <c r="O353" s="18" t="b">
        <f t="shared" si="28"/>
        <v>0</v>
      </c>
      <c r="P353" s="43" t="str">
        <f>IF(O353,swap_curve!$B$19,"")</f>
        <v/>
      </c>
      <c r="Q353" t="str">
        <f t="shared" si="29"/>
        <v/>
      </c>
      <c r="R353" t="str" cm="1">
        <f t="array" ref="R353">IF(O353,BSCall(swap_curve!$B$20,imvol!M353,imvol!P353,imvol!Q353,YEARFRAC(swap_curve!$C$1,imvol!N353)),"")</f>
        <v/>
      </c>
      <c r="S353" s="20" t="str">
        <f t="shared" si="25"/>
        <v/>
      </c>
    </row>
    <row r="354" spans="1:19" x14ac:dyDescent="0.3">
      <c r="A354" s="23" t="s">
        <v>1162</v>
      </c>
      <c r="B354" s="23" t="s">
        <v>1163</v>
      </c>
      <c r="C354" s="24" t="s">
        <v>23</v>
      </c>
      <c r="D354" s="24" t="s">
        <v>23</v>
      </c>
      <c r="E354" s="24" t="s">
        <v>23</v>
      </c>
      <c r="F354" s="24" t="s">
        <v>23</v>
      </c>
      <c r="G354" s="24" t="s">
        <v>23</v>
      </c>
      <c r="H354" s="24">
        <v>20.72</v>
      </c>
      <c r="I354" s="24">
        <v>0.01</v>
      </c>
      <c r="J354" s="25">
        <v>0</v>
      </c>
      <c r="K354" s="25">
        <v>0</v>
      </c>
      <c r="L354" s="25">
        <v>112</v>
      </c>
      <c r="M354" s="18">
        <f t="shared" si="26"/>
        <v>480</v>
      </c>
      <c r="N354" s="19">
        <f t="shared" si="27"/>
        <v>45484</v>
      </c>
      <c r="O354" s="18" t="b">
        <f t="shared" si="28"/>
        <v>0</v>
      </c>
      <c r="P354" s="43" t="str">
        <f>IF(O354,swap_curve!$B$19,"")</f>
        <v/>
      </c>
      <c r="Q354" t="str">
        <f t="shared" si="29"/>
        <v/>
      </c>
      <c r="R354" t="str" cm="1">
        <f t="array" ref="R354">IF(O354,BSCall(swap_curve!$B$20,imvol!M354,imvol!P354,imvol!Q354,YEARFRAC(swap_curve!$C$1,imvol!N354)),"")</f>
        <v/>
      </c>
      <c r="S354" s="20" t="str">
        <f t="shared" si="25"/>
        <v/>
      </c>
    </row>
    <row r="355" spans="1:19" x14ac:dyDescent="0.3">
      <c r="A355" s="23" t="s">
        <v>1164</v>
      </c>
      <c r="B355" s="23" t="s">
        <v>1165</v>
      </c>
      <c r="C355" s="24" t="s">
        <v>23</v>
      </c>
      <c r="D355" s="24" t="s">
        <v>23</v>
      </c>
      <c r="E355" s="24" t="s">
        <v>23</v>
      </c>
      <c r="F355" s="24" t="s">
        <v>23</v>
      </c>
      <c r="G355" s="24" t="s">
        <v>23</v>
      </c>
      <c r="H355" s="24">
        <v>20.9</v>
      </c>
      <c r="I355" s="24">
        <v>0.01</v>
      </c>
      <c r="J355" s="25">
        <v>0</v>
      </c>
      <c r="K355" s="25">
        <v>0</v>
      </c>
      <c r="L355" s="25">
        <v>2</v>
      </c>
      <c r="M355" s="18">
        <f t="shared" si="26"/>
        <v>482.5</v>
      </c>
      <c r="N355" s="19">
        <f t="shared" si="27"/>
        <v>45484</v>
      </c>
      <c r="O355" s="18" t="b">
        <f t="shared" si="28"/>
        <v>0</v>
      </c>
      <c r="P355" s="43" t="str">
        <f>IF(O355,swap_curve!$B$19,"")</f>
        <v/>
      </c>
      <c r="Q355" t="str">
        <f t="shared" si="29"/>
        <v/>
      </c>
      <c r="R355" t="str" cm="1">
        <f t="array" ref="R355">IF(O355,BSCall(swap_curve!$B$20,imvol!M355,imvol!P355,imvol!Q355,YEARFRAC(swap_curve!$C$1,imvol!N355)),"")</f>
        <v/>
      </c>
      <c r="S355" s="20" t="str">
        <f t="shared" si="25"/>
        <v/>
      </c>
    </row>
    <row r="356" spans="1:19" x14ac:dyDescent="0.3">
      <c r="A356" s="23" t="s">
        <v>1166</v>
      </c>
      <c r="B356" s="23" t="s">
        <v>1167</v>
      </c>
      <c r="C356" s="24" t="s">
        <v>23</v>
      </c>
      <c r="D356" s="24" t="s">
        <v>23</v>
      </c>
      <c r="E356" s="24" t="s">
        <v>23</v>
      </c>
      <c r="F356" s="24" t="s">
        <v>23</v>
      </c>
      <c r="G356" s="24" t="s">
        <v>23</v>
      </c>
      <c r="H356" s="24">
        <v>21.08</v>
      </c>
      <c r="I356" s="24">
        <v>0.01</v>
      </c>
      <c r="J356" s="25">
        <v>0</v>
      </c>
      <c r="K356" s="25">
        <v>0</v>
      </c>
      <c r="L356" s="25">
        <v>10</v>
      </c>
      <c r="M356" s="18">
        <f t="shared" si="26"/>
        <v>485</v>
      </c>
      <c r="N356" s="19">
        <f t="shared" si="27"/>
        <v>45484</v>
      </c>
      <c r="O356" s="18" t="b">
        <f t="shared" si="28"/>
        <v>0</v>
      </c>
      <c r="P356" s="43" t="str">
        <f>IF(O356,swap_curve!$B$19,"")</f>
        <v/>
      </c>
      <c r="Q356" t="str">
        <f t="shared" si="29"/>
        <v/>
      </c>
      <c r="R356" t="str" cm="1">
        <f t="array" ref="R356">IF(O356,BSCall(swap_curve!$B$20,imvol!M356,imvol!P356,imvol!Q356,YEARFRAC(swap_curve!$C$1,imvol!N356)),"")</f>
        <v/>
      </c>
      <c r="S356" s="20" t="str">
        <f t="shared" si="25"/>
        <v/>
      </c>
    </row>
    <row r="357" spans="1:19" x14ac:dyDescent="0.3">
      <c r="A357" s="23" t="s">
        <v>1168</v>
      </c>
      <c r="B357" s="23" t="s">
        <v>1169</v>
      </c>
      <c r="C357" s="24" t="s">
        <v>23</v>
      </c>
      <c r="D357" s="24" t="s">
        <v>23</v>
      </c>
      <c r="E357" s="24" t="s">
        <v>23</v>
      </c>
      <c r="F357" s="24" t="s">
        <v>23</v>
      </c>
      <c r="G357" s="24" t="s">
        <v>23</v>
      </c>
      <c r="H357" s="24">
        <v>21.26</v>
      </c>
      <c r="I357" s="24">
        <v>0.01</v>
      </c>
      <c r="J357" s="25">
        <v>0</v>
      </c>
      <c r="K357" s="25">
        <v>0</v>
      </c>
      <c r="L357" s="25">
        <v>1</v>
      </c>
      <c r="M357" s="18">
        <f t="shared" si="26"/>
        <v>487.5</v>
      </c>
      <c r="N357" s="19">
        <f t="shared" si="27"/>
        <v>45484</v>
      </c>
      <c r="O357" s="18" t="b">
        <f t="shared" si="28"/>
        <v>0</v>
      </c>
      <c r="P357" s="43" t="str">
        <f>IF(O357,swap_curve!$B$19,"")</f>
        <v/>
      </c>
      <c r="Q357" t="str">
        <f t="shared" si="29"/>
        <v/>
      </c>
      <c r="R357" t="str" cm="1">
        <f t="array" ref="R357">IF(O357,BSCall(swap_curve!$B$20,imvol!M357,imvol!P357,imvol!Q357,YEARFRAC(swap_curve!$C$1,imvol!N357)),"")</f>
        <v/>
      </c>
      <c r="S357" s="20" t="str">
        <f t="shared" si="25"/>
        <v/>
      </c>
    </row>
    <row r="358" spans="1:19" x14ac:dyDescent="0.3">
      <c r="A358" s="23" t="s">
        <v>1170</v>
      </c>
      <c r="B358" s="23" t="s">
        <v>1171</v>
      </c>
      <c r="C358" s="24" t="s">
        <v>23</v>
      </c>
      <c r="D358" s="24" t="s">
        <v>23</v>
      </c>
      <c r="E358" s="24" t="s">
        <v>23</v>
      </c>
      <c r="F358" s="24" t="s">
        <v>23</v>
      </c>
      <c r="G358" s="24" t="s">
        <v>23</v>
      </c>
      <c r="H358" s="24">
        <v>21.44</v>
      </c>
      <c r="I358" s="24">
        <v>0.01</v>
      </c>
      <c r="J358" s="25">
        <v>0</v>
      </c>
      <c r="K358" s="25">
        <v>0</v>
      </c>
      <c r="L358" s="25">
        <v>7</v>
      </c>
      <c r="M358" s="18">
        <f t="shared" si="26"/>
        <v>490</v>
      </c>
      <c r="N358" s="19">
        <f t="shared" si="27"/>
        <v>45484</v>
      </c>
      <c r="O358" s="18" t="b">
        <f t="shared" si="28"/>
        <v>0</v>
      </c>
      <c r="P358" s="43" t="str">
        <f>IF(O358,swap_curve!$B$19,"")</f>
        <v/>
      </c>
      <c r="Q358" t="str">
        <f t="shared" si="29"/>
        <v/>
      </c>
      <c r="R358" t="str" cm="1">
        <f t="array" ref="R358">IF(O358,BSCall(swap_curve!$B$20,imvol!M358,imvol!P358,imvol!Q358,YEARFRAC(swap_curve!$C$1,imvol!N358)),"")</f>
        <v/>
      </c>
      <c r="S358" s="20" t="str">
        <f t="shared" si="25"/>
        <v/>
      </c>
    </row>
    <row r="359" spans="1:19" x14ac:dyDescent="0.3">
      <c r="A359" s="23" t="s">
        <v>1172</v>
      </c>
      <c r="B359" s="23" t="s">
        <v>1173</v>
      </c>
      <c r="C359" s="24" t="s">
        <v>23</v>
      </c>
      <c r="D359" s="24" t="s">
        <v>23</v>
      </c>
      <c r="E359" s="24" t="s">
        <v>23</v>
      </c>
      <c r="F359" s="24" t="s">
        <v>23</v>
      </c>
      <c r="G359" s="24" t="s">
        <v>23</v>
      </c>
      <c r="H359" s="24">
        <v>21.62</v>
      </c>
      <c r="I359" s="24">
        <v>0.01</v>
      </c>
      <c r="J359" s="25">
        <v>0</v>
      </c>
      <c r="K359" s="25">
        <v>0</v>
      </c>
      <c r="L359" s="25">
        <v>8</v>
      </c>
      <c r="M359" s="18">
        <f t="shared" si="26"/>
        <v>492.5</v>
      </c>
      <c r="N359" s="19">
        <f t="shared" si="27"/>
        <v>45484</v>
      </c>
      <c r="O359" s="18" t="b">
        <f t="shared" si="28"/>
        <v>0</v>
      </c>
      <c r="P359" s="43" t="str">
        <f>IF(O359,swap_curve!$B$19,"")</f>
        <v/>
      </c>
      <c r="Q359" t="str">
        <f t="shared" si="29"/>
        <v/>
      </c>
      <c r="R359" t="str" cm="1">
        <f t="array" ref="R359">IF(O359,BSCall(swap_curve!$B$20,imvol!M359,imvol!P359,imvol!Q359,YEARFRAC(swap_curve!$C$1,imvol!N359)),"")</f>
        <v/>
      </c>
      <c r="S359" s="20" t="str">
        <f t="shared" si="25"/>
        <v/>
      </c>
    </row>
    <row r="360" spans="1:19" x14ac:dyDescent="0.3">
      <c r="A360" s="23" t="s">
        <v>1174</v>
      </c>
      <c r="B360" s="23" t="s">
        <v>1175</v>
      </c>
      <c r="C360" s="24">
        <v>0.01</v>
      </c>
      <c r="D360" s="24">
        <v>-0.01</v>
      </c>
      <c r="E360" s="24">
        <v>0.02</v>
      </c>
      <c r="F360" s="24">
        <v>0.02</v>
      </c>
      <c r="G360" s="24">
        <v>0.01</v>
      </c>
      <c r="H360" s="24">
        <v>21.8</v>
      </c>
      <c r="I360" s="24">
        <v>0.01</v>
      </c>
      <c r="J360" s="25">
        <v>22</v>
      </c>
      <c r="K360" s="25">
        <v>0</v>
      </c>
      <c r="L360" s="25">
        <v>129</v>
      </c>
      <c r="M360" s="18">
        <f t="shared" si="26"/>
        <v>495</v>
      </c>
      <c r="N360" s="19">
        <f t="shared" si="27"/>
        <v>45484</v>
      </c>
      <c r="O360" s="18" t="b">
        <f t="shared" si="28"/>
        <v>0</v>
      </c>
      <c r="P360" s="43" t="str">
        <f>IF(O360,swap_curve!$B$19,"")</f>
        <v/>
      </c>
      <c r="Q360" t="str">
        <f t="shared" si="29"/>
        <v/>
      </c>
      <c r="R360" t="str" cm="1">
        <f t="array" ref="R360">IF(O360,BSCall(swap_curve!$B$20,imvol!M360,imvol!P360,imvol!Q360,YEARFRAC(swap_curve!$C$1,imvol!N360)),"")</f>
        <v/>
      </c>
      <c r="S360" s="20" t="str">
        <f t="shared" si="25"/>
        <v/>
      </c>
    </row>
    <row r="361" spans="1:19" x14ac:dyDescent="0.3">
      <c r="A361" s="23" t="s">
        <v>1176</v>
      </c>
      <c r="B361" s="23" t="s">
        <v>1177</v>
      </c>
      <c r="C361" s="24" t="s">
        <v>23</v>
      </c>
      <c r="D361" s="24" t="s">
        <v>23</v>
      </c>
      <c r="E361" s="24" t="s">
        <v>23</v>
      </c>
      <c r="F361" s="24" t="s">
        <v>23</v>
      </c>
      <c r="G361" s="24" t="s">
        <v>23</v>
      </c>
      <c r="H361" s="24">
        <v>16.100000000000001</v>
      </c>
      <c r="I361" s="24">
        <v>135.65</v>
      </c>
      <c r="J361" s="25">
        <v>0</v>
      </c>
      <c r="K361" s="25">
        <v>0</v>
      </c>
      <c r="L361" s="25">
        <v>0</v>
      </c>
      <c r="M361" s="18">
        <f t="shared" si="26"/>
        <v>230</v>
      </c>
      <c r="N361" s="19">
        <f t="shared" si="27"/>
        <v>45512</v>
      </c>
      <c r="O361" s="18" t="b">
        <f t="shared" si="28"/>
        <v>0</v>
      </c>
      <c r="P361" s="43" t="str">
        <f>IF(O361,swap_curve!$B$19,"")</f>
        <v/>
      </c>
      <c r="Q361" t="str">
        <f t="shared" si="29"/>
        <v/>
      </c>
      <c r="R361" t="str" cm="1">
        <f t="array" ref="R361">IF(O361,BSCall(swap_curve!$B$20,imvol!M361,imvol!P361,imvol!Q361,YEARFRAC(swap_curve!$C$1,imvol!N361)),"")</f>
        <v/>
      </c>
      <c r="S361" s="20" t="str">
        <f t="shared" si="25"/>
        <v/>
      </c>
    </row>
    <row r="362" spans="1:19" x14ac:dyDescent="0.3">
      <c r="A362" s="23" t="s">
        <v>1178</v>
      </c>
      <c r="B362" s="23" t="s">
        <v>1179</v>
      </c>
      <c r="C362" s="24" t="s">
        <v>23</v>
      </c>
      <c r="D362" s="24" t="s">
        <v>23</v>
      </c>
      <c r="E362" s="24" t="s">
        <v>23</v>
      </c>
      <c r="F362" s="24" t="s">
        <v>23</v>
      </c>
      <c r="G362" s="24" t="s">
        <v>23</v>
      </c>
      <c r="H362" s="24">
        <v>16.100000000000001</v>
      </c>
      <c r="I362" s="24">
        <v>130.69999999999999</v>
      </c>
      <c r="J362" s="25">
        <v>0</v>
      </c>
      <c r="K362" s="25">
        <v>0</v>
      </c>
      <c r="L362" s="25">
        <v>0</v>
      </c>
      <c r="M362" s="18">
        <f t="shared" si="26"/>
        <v>235</v>
      </c>
      <c r="N362" s="19">
        <f t="shared" si="27"/>
        <v>45512</v>
      </c>
      <c r="O362" s="18" t="b">
        <f t="shared" si="28"/>
        <v>0</v>
      </c>
      <c r="P362" s="43" t="str">
        <f>IF(O362,swap_curve!$B$19,"")</f>
        <v/>
      </c>
      <c r="Q362" t="str">
        <f t="shared" si="29"/>
        <v/>
      </c>
      <c r="R362" t="str" cm="1">
        <f t="array" ref="R362">IF(O362,BSCall(swap_curve!$B$20,imvol!M362,imvol!P362,imvol!Q362,YEARFRAC(swap_curve!$C$1,imvol!N362)),"")</f>
        <v/>
      </c>
      <c r="S362" s="20" t="str">
        <f t="shared" si="25"/>
        <v/>
      </c>
    </row>
    <row r="363" spans="1:19" x14ac:dyDescent="0.3">
      <c r="A363" s="23" t="s">
        <v>1180</v>
      </c>
      <c r="B363" s="23" t="s">
        <v>1181</v>
      </c>
      <c r="C363" s="24" t="s">
        <v>23</v>
      </c>
      <c r="D363" s="24" t="s">
        <v>23</v>
      </c>
      <c r="E363" s="24" t="s">
        <v>23</v>
      </c>
      <c r="F363" s="24" t="s">
        <v>23</v>
      </c>
      <c r="G363" s="24" t="s">
        <v>23</v>
      </c>
      <c r="H363" s="24">
        <v>16.100000000000001</v>
      </c>
      <c r="I363" s="24">
        <v>125.75</v>
      </c>
      <c r="J363" s="25">
        <v>0</v>
      </c>
      <c r="K363" s="25">
        <v>0</v>
      </c>
      <c r="L363" s="25">
        <v>0</v>
      </c>
      <c r="M363" s="18">
        <f t="shared" si="26"/>
        <v>240</v>
      </c>
      <c r="N363" s="19">
        <f t="shared" si="27"/>
        <v>45512</v>
      </c>
      <c r="O363" s="18" t="b">
        <f t="shared" si="28"/>
        <v>0</v>
      </c>
      <c r="P363" s="43" t="str">
        <f>IF(O363,swap_curve!$B$19,"")</f>
        <v/>
      </c>
      <c r="Q363" t="str">
        <f t="shared" si="29"/>
        <v/>
      </c>
      <c r="R363" t="str" cm="1">
        <f t="array" ref="R363">IF(O363,BSCall(swap_curve!$B$20,imvol!M363,imvol!P363,imvol!Q363,YEARFRAC(swap_curve!$C$1,imvol!N363)),"")</f>
        <v/>
      </c>
      <c r="S363" s="20" t="str">
        <f t="shared" si="25"/>
        <v/>
      </c>
    </row>
    <row r="364" spans="1:19" x14ac:dyDescent="0.3">
      <c r="A364" s="23" t="s">
        <v>1182</v>
      </c>
      <c r="B364" s="23" t="s">
        <v>1183</v>
      </c>
      <c r="C364" s="24" t="s">
        <v>23</v>
      </c>
      <c r="D364" s="24" t="s">
        <v>23</v>
      </c>
      <c r="E364" s="24" t="s">
        <v>23</v>
      </c>
      <c r="F364" s="24" t="s">
        <v>23</v>
      </c>
      <c r="G364" s="24" t="s">
        <v>23</v>
      </c>
      <c r="H364" s="24">
        <v>16.100000000000001</v>
      </c>
      <c r="I364" s="24">
        <v>120.8</v>
      </c>
      <c r="J364" s="25">
        <v>0</v>
      </c>
      <c r="K364" s="25">
        <v>0</v>
      </c>
      <c r="L364" s="25">
        <v>0</v>
      </c>
      <c r="M364" s="18">
        <f t="shared" si="26"/>
        <v>245</v>
      </c>
      <c r="N364" s="19">
        <f t="shared" si="27"/>
        <v>45512</v>
      </c>
      <c r="O364" s="18" t="b">
        <f t="shared" si="28"/>
        <v>0</v>
      </c>
      <c r="P364" s="43" t="str">
        <f>IF(O364,swap_curve!$B$19,"")</f>
        <v/>
      </c>
      <c r="Q364" t="str">
        <f t="shared" si="29"/>
        <v/>
      </c>
      <c r="R364" t="str" cm="1">
        <f t="array" ref="R364">IF(O364,BSCall(swap_curve!$B$20,imvol!M364,imvol!P364,imvol!Q364,YEARFRAC(swap_curve!$C$1,imvol!N364)),"")</f>
        <v/>
      </c>
      <c r="S364" s="20" t="str">
        <f t="shared" si="25"/>
        <v/>
      </c>
    </row>
    <row r="365" spans="1:19" x14ac:dyDescent="0.3">
      <c r="A365" s="23" t="s">
        <v>1184</v>
      </c>
      <c r="B365" s="23" t="s">
        <v>1185</v>
      </c>
      <c r="C365" s="24" t="s">
        <v>23</v>
      </c>
      <c r="D365" s="24" t="s">
        <v>23</v>
      </c>
      <c r="E365" s="24" t="s">
        <v>23</v>
      </c>
      <c r="F365" s="24" t="s">
        <v>23</v>
      </c>
      <c r="G365" s="24" t="s">
        <v>23</v>
      </c>
      <c r="H365" s="24">
        <v>16.100000000000001</v>
      </c>
      <c r="I365" s="24">
        <v>115.85</v>
      </c>
      <c r="J365" s="25">
        <v>0</v>
      </c>
      <c r="K365" s="25">
        <v>0</v>
      </c>
      <c r="L365" s="25">
        <v>0</v>
      </c>
      <c r="M365" s="18">
        <f t="shared" si="26"/>
        <v>250</v>
      </c>
      <c r="N365" s="19">
        <f t="shared" si="27"/>
        <v>45512</v>
      </c>
      <c r="O365" s="18" t="b">
        <f t="shared" si="28"/>
        <v>0</v>
      </c>
      <c r="P365" s="43" t="str">
        <f>IF(O365,swap_curve!$B$19,"")</f>
        <v/>
      </c>
      <c r="Q365" t="str">
        <f t="shared" si="29"/>
        <v/>
      </c>
      <c r="R365" t="str" cm="1">
        <f t="array" ref="R365">IF(O365,BSCall(swap_curve!$B$20,imvol!M365,imvol!P365,imvol!Q365,YEARFRAC(swap_curve!$C$1,imvol!N365)),"")</f>
        <v/>
      </c>
      <c r="S365" s="20" t="str">
        <f t="shared" si="25"/>
        <v/>
      </c>
    </row>
    <row r="366" spans="1:19" x14ac:dyDescent="0.3">
      <c r="A366" s="23" t="s">
        <v>1186</v>
      </c>
      <c r="B366" s="23" t="s">
        <v>1187</v>
      </c>
      <c r="C366" s="24" t="s">
        <v>23</v>
      </c>
      <c r="D366" s="24" t="s">
        <v>23</v>
      </c>
      <c r="E366" s="24" t="s">
        <v>23</v>
      </c>
      <c r="F366" s="24" t="s">
        <v>23</v>
      </c>
      <c r="G366" s="24" t="s">
        <v>23</v>
      </c>
      <c r="H366" s="24">
        <v>16.100000000000001</v>
      </c>
      <c r="I366" s="24">
        <v>110.9</v>
      </c>
      <c r="J366" s="25">
        <v>0</v>
      </c>
      <c r="K366" s="25">
        <v>0</v>
      </c>
      <c r="L366" s="25">
        <v>0</v>
      </c>
      <c r="M366" s="18">
        <f t="shared" si="26"/>
        <v>255</v>
      </c>
      <c r="N366" s="19">
        <f t="shared" si="27"/>
        <v>45512</v>
      </c>
      <c r="O366" s="18" t="b">
        <f t="shared" si="28"/>
        <v>0</v>
      </c>
      <c r="P366" s="43" t="str">
        <f>IF(O366,swap_curve!$B$19,"")</f>
        <v/>
      </c>
      <c r="Q366" t="str">
        <f t="shared" si="29"/>
        <v/>
      </c>
      <c r="R366" t="str" cm="1">
        <f t="array" ref="R366">IF(O366,BSCall(swap_curve!$B$20,imvol!M366,imvol!P366,imvol!Q366,YEARFRAC(swap_curve!$C$1,imvol!N366)),"")</f>
        <v/>
      </c>
      <c r="S366" s="20" t="str">
        <f t="shared" si="25"/>
        <v/>
      </c>
    </row>
    <row r="367" spans="1:19" x14ac:dyDescent="0.3">
      <c r="A367" s="23" t="s">
        <v>1188</v>
      </c>
      <c r="B367" s="23" t="s">
        <v>1189</v>
      </c>
      <c r="C367" s="24" t="s">
        <v>23</v>
      </c>
      <c r="D367" s="24" t="s">
        <v>23</v>
      </c>
      <c r="E367" s="24" t="s">
        <v>23</v>
      </c>
      <c r="F367" s="24" t="s">
        <v>23</v>
      </c>
      <c r="G367" s="24" t="s">
        <v>23</v>
      </c>
      <c r="H367" s="24">
        <v>16.100000000000001</v>
      </c>
      <c r="I367" s="24">
        <v>105.95</v>
      </c>
      <c r="J367" s="25">
        <v>0</v>
      </c>
      <c r="K367" s="25">
        <v>0</v>
      </c>
      <c r="L367" s="25">
        <v>0</v>
      </c>
      <c r="M367" s="18">
        <f t="shared" si="26"/>
        <v>260</v>
      </c>
      <c r="N367" s="19">
        <f t="shared" si="27"/>
        <v>45512</v>
      </c>
      <c r="O367" s="18" t="b">
        <f t="shared" si="28"/>
        <v>0</v>
      </c>
      <c r="P367" s="43" t="str">
        <f>IF(O367,swap_curve!$B$19,"")</f>
        <v/>
      </c>
      <c r="Q367" t="str">
        <f t="shared" si="29"/>
        <v/>
      </c>
      <c r="R367" t="str" cm="1">
        <f t="array" ref="R367">IF(O367,BSCall(swap_curve!$B$20,imvol!M367,imvol!P367,imvol!Q367,YEARFRAC(swap_curve!$C$1,imvol!N367)),"")</f>
        <v/>
      </c>
      <c r="S367" s="20" t="str">
        <f t="shared" si="25"/>
        <v/>
      </c>
    </row>
    <row r="368" spans="1:19" x14ac:dyDescent="0.3">
      <c r="A368" s="23" t="s">
        <v>1190</v>
      </c>
      <c r="B368" s="23" t="s">
        <v>1191</v>
      </c>
      <c r="C368" s="24" t="s">
        <v>23</v>
      </c>
      <c r="D368" s="24" t="s">
        <v>23</v>
      </c>
      <c r="E368" s="24" t="s">
        <v>23</v>
      </c>
      <c r="F368" s="24" t="s">
        <v>23</v>
      </c>
      <c r="G368" s="24" t="s">
        <v>23</v>
      </c>
      <c r="H368" s="24">
        <v>16.100000000000001</v>
      </c>
      <c r="I368" s="24">
        <v>101</v>
      </c>
      <c r="J368" s="25">
        <v>0</v>
      </c>
      <c r="K368" s="25">
        <v>0</v>
      </c>
      <c r="L368" s="25">
        <v>0</v>
      </c>
      <c r="M368" s="18">
        <f t="shared" si="26"/>
        <v>265</v>
      </c>
      <c r="N368" s="19">
        <f t="shared" si="27"/>
        <v>45512</v>
      </c>
      <c r="O368" s="18" t="b">
        <f t="shared" si="28"/>
        <v>0</v>
      </c>
      <c r="P368" s="43" t="str">
        <f>IF(O368,swap_curve!$B$19,"")</f>
        <v/>
      </c>
      <c r="Q368" t="str">
        <f t="shared" si="29"/>
        <v/>
      </c>
      <c r="R368" t="str" cm="1">
        <f t="array" ref="R368">IF(O368,BSCall(swap_curve!$B$20,imvol!M368,imvol!P368,imvol!Q368,YEARFRAC(swap_curve!$C$1,imvol!N368)),"")</f>
        <v/>
      </c>
      <c r="S368" s="20" t="str">
        <f t="shared" si="25"/>
        <v/>
      </c>
    </row>
    <row r="369" spans="1:19" x14ac:dyDescent="0.3">
      <c r="A369" s="23" t="s">
        <v>1192</v>
      </c>
      <c r="B369" s="23" t="s">
        <v>1193</v>
      </c>
      <c r="C369" s="24" t="s">
        <v>23</v>
      </c>
      <c r="D369" s="24" t="s">
        <v>23</v>
      </c>
      <c r="E369" s="24" t="s">
        <v>23</v>
      </c>
      <c r="F369" s="24" t="s">
        <v>23</v>
      </c>
      <c r="G369" s="24" t="s">
        <v>23</v>
      </c>
      <c r="H369" s="24">
        <v>16.100000000000001</v>
      </c>
      <c r="I369" s="24">
        <v>96.05</v>
      </c>
      <c r="J369" s="25">
        <v>0</v>
      </c>
      <c r="K369" s="25">
        <v>0</v>
      </c>
      <c r="L369" s="25">
        <v>0</v>
      </c>
      <c r="M369" s="18">
        <f t="shared" si="26"/>
        <v>270</v>
      </c>
      <c r="N369" s="19">
        <f t="shared" si="27"/>
        <v>45512</v>
      </c>
      <c r="O369" s="18" t="b">
        <f t="shared" si="28"/>
        <v>0</v>
      </c>
      <c r="P369" s="43" t="str">
        <f>IF(O369,swap_curve!$B$19,"")</f>
        <v/>
      </c>
      <c r="Q369" t="str">
        <f t="shared" si="29"/>
        <v/>
      </c>
      <c r="R369" t="str" cm="1">
        <f t="array" ref="R369">IF(O369,BSCall(swap_curve!$B$20,imvol!M369,imvol!P369,imvol!Q369,YEARFRAC(swap_curve!$C$1,imvol!N369)),"")</f>
        <v/>
      </c>
      <c r="S369" s="20" t="str">
        <f t="shared" si="25"/>
        <v/>
      </c>
    </row>
    <row r="370" spans="1:19" x14ac:dyDescent="0.3">
      <c r="A370" s="23" t="s">
        <v>1194</v>
      </c>
      <c r="B370" s="23" t="s">
        <v>1195</v>
      </c>
      <c r="C370" s="24" t="s">
        <v>23</v>
      </c>
      <c r="D370" s="24" t="s">
        <v>23</v>
      </c>
      <c r="E370" s="24" t="s">
        <v>23</v>
      </c>
      <c r="F370" s="24" t="s">
        <v>23</v>
      </c>
      <c r="G370" s="24" t="s">
        <v>23</v>
      </c>
      <c r="H370" s="24">
        <v>16.100000000000001</v>
      </c>
      <c r="I370" s="24">
        <v>91.1</v>
      </c>
      <c r="J370" s="25">
        <v>0</v>
      </c>
      <c r="K370" s="25">
        <v>0</v>
      </c>
      <c r="L370" s="25">
        <v>0</v>
      </c>
      <c r="M370" s="18">
        <f t="shared" si="26"/>
        <v>275</v>
      </c>
      <c r="N370" s="19">
        <f t="shared" si="27"/>
        <v>45512</v>
      </c>
      <c r="O370" s="18" t="b">
        <f t="shared" si="28"/>
        <v>0</v>
      </c>
      <c r="P370" s="43" t="str">
        <f>IF(O370,swap_curve!$B$19,"")</f>
        <v/>
      </c>
      <c r="Q370" t="str">
        <f t="shared" si="29"/>
        <v/>
      </c>
      <c r="R370" t="str" cm="1">
        <f t="array" ref="R370">IF(O370,BSCall(swap_curve!$B$20,imvol!M370,imvol!P370,imvol!Q370,YEARFRAC(swap_curve!$C$1,imvol!N370)),"")</f>
        <v/>
      </c>
      <c r="S370" s="20" t="str">
        <f t="shared" si="25"/>
        <v/>
      </c>
    </row>
    <row r="371" spans="1:19" x14ac:dyDescent="0.3">
      <c r="A371" s="23" t="s">
        <v>1196</v>
      </c>
      <c r="B371" s="23" t="s">
        <v>1197</v>
      </c>
      <c r="C371" s="24" t="s">
        <v>23</v>
      </c>
      <c r="D371" s="24" t="s">
        <v>23</v>
      </c>
      <c r="E371" s="24" t="s">
        <v>23</v>
      </c>
      <c r="F371" s="24" t="s">
        <v>23</v>
      </c>
      <c r="G371" s="24" t="s">
        <v>23</v>
      </c>
      <c r="H371" s="24">
        <v>16.100000000000001</v>
      </c>
      <c r="I371" s="24">
        <v>86.15</v>
      </c>
      <c r="J371" s="25">
        <v>0</v>
      </c>
      <c r="K371" s="25">
        <v>0</v>
      </c>
      <c r="L371" s="25">
        <v>0</v>
      </c>
      <c r="M371" s="18">
        <f t="shared" si="26"/>
        <v>280</v>
      </c>
      <c r="N371" s="19">
        <f t="shared" si="27"/>
        <v>45512</v>
      </c>
      <c r="O371" s="18" t="b">
        <f t="shared" si="28"/>
        <v>0</v>
      </c>
      <c r="P371" s="43" t="str">
        <f>IF(O371,swap_curve!$B$19,"")</f>
        <v/>
      </c>
      <c r="Q371" t="str">
        <f t="shared" si="29"/>
        <v/>
      </c>
      <c r="R371" t="str" cm="1">
        <f t="array" ref="R371">IF(O371,BSCall(swap_curve!$B$20,imvol!M371,imvol!P371,imvol!Q371,YEARFRAC(swap_curve!$C$1,imvol!N371)),"")</f>
        <v/>
      </c>
      <c r="S371" s="20" t="str">
        <f t="shared" si="25"/>
        <v/>
      </c>
    </row>
    <row r="372" spans="1:19" x14ac:dyDescent="0.3">
      <c r="A372" s="23" t="s">
        <v>1198</v>
      </c>
      <c r="B372" s="23" t="s">
        <v>1199</v>
      </c>
      <c r="C372" s="24" t="s">
        <v>23</v>
      </c>
      <c r="D372" s="24" t="s">
        <v>23</v>
      </c>
      <c r="E372" s="24" t="s">
        <v>23</v>
      </c>
      <c r="F372" s="24" t="s">
        <v>23</v>
      </c>
      <c r="G372" s="24" t="s">
        <v>23</v>
      </c>
      <c r="H372" s="24">
        <v>16.100000000000001</v>
      </c>
      <c r="I372" s="24">
        <v>81.2</v>
      </c>
      <c r="J372" s="25">
        <v>0</v>
      </c>
      <c r="K372" s="25">
        <v>0</v>
      </c>
      <c r="L372" s="25">
        <v>0</v>
      </c>
      <c r="M372" s="18">
        <f t="shared" si="26"/>
        <v>285</v>
      </c>
      <c r="N372" s="19">
        <f t="shared" si="27"/>
        <v>45512</v>
      </c>
      <c r="O372" s="18" t="b">
        <f t="shared" si="28"/>
        <v>0</v>
      </c>
      <c r="P372" s="43" t="str">
        <f>IF(O372,swap_curve!$B$19,"")</f>
        <v/>
      </c>
      <c r="Q372" t="str">
        <f t="shared" si="29"/>
        <v/>
      </c>
      <c r="R372" t="str" cm="1">
        <f t="array" ref="R372">IF(O372,BSCall(swap_curve!$B$20,imvol!M372,imvol!P372,imvol!Q372,YEARFRAC(swap_curve!$C$1,imvol!N372)),"")</f>
        <v/>
      </c>
      <c r="S372" s="20" t="str">
        <f t="shared" si="25"/>
        <v/>
      </c>
    </row>
    <row r="373" spans="1:19" x14ac:dyDescent="0.3">
      <c r="A373" s="23" t="s">
        <v>1200</v>
      </c>
      <c r="B373" s="23" t="s">
        <v>1201</v>
      </c>
      <c r="C373" s="24" t="s">
        <v>23</v>
      </c>
      <c r="D373" s="24" t="s">
        <v>23</v>
      </c>
      <c r="E373" s="24" t="s">
        <v>23</v>
      </c>
      <c r="F373" s="24" t="s">
        <v>23</v>
      </c>
      <c r="G373" s="24" t="s">
        <v>23</v>
      </c>
      <c r="H373" s="24">
        <v>16.100000000000001</v>
      </c>
      <c r="I373" s="24">
        <v>76.25</v>
      </c>
      <c r="J373" s="25">
        <v>0</v>
      </c>
      <c r="K373" s="25">
        <v>0</v>
      </c>
      <c r="L373" s="25">
        <v>0</v>
      </c>
      <c r="M373" s="18">
        <f t="shared" si="26"/>
        <v>290</v>
      </c>
      <c r="N373" s="19">
        <f t="shared" si="27"/>
        <v>45512</v>
      </c>
      <c r="O373" s="18" t="b">
        <f t="shared" si="28"/>
        <v>0</v>
      </c>
      <c r="P373" s="43" t="str">
        <f>IF(O373,swap_curve!$B$19,"")</f>
        <v/>
      </c>
      <c r="Q373" t="str">
        <f t="shared" si="29"/>
        <v/>
      </c>
      <c r="R373" t="str" cm="1">
        <f t="array" ref="R373">IF(O373,BSCall(swap_curve!$B$20,imvol!M373,imvol!P373,imvol!Q373,YEARFRAC(swap_curve!$C$1,imvol!N373)),"")</f>
        <v/>
      </c>
      <c r="S373" s="20" t="str">
        <f t="shared" si="25"/>
        <v/>
      </c>
    </row>
    <row r="374" spans="1:19" x14ac:dyDescent="0.3">
      <c r="A374" s="23" t="s">
        <v>1202</v>
      </c>
      <c r="B374" s="23" t="s">
        <v>1203</v>
      </c>
      <c r="C374" s="24" t="s">
        <v>23</v>
      </c>
      <c r="D374" s="24" t="s">
        <v>23</v>
      </c>
      <c r="E374" s="24" t="s">
        <v>23</v>
      </c>
      <c r="F374" s="24" t="s">
        <v>23</v>
      </c>
      <c r="G374" s="24" t="s">
        <v>23</v>
      </c>
      <c r="H374" s="24">
        <v>16.100000000000001</v>
      </c>
      <c r="I374" s="24">
        <v>71.3</v>
      </c>
      <c r="J374" s="25">
        <v>0</v>
      </c>
      <c r="K374" s="25">
        <v>0</v>
      </c>
      <c r="L374" s="25">
        <v>0</v>
      </c>
      <c r="M374" s="18">
        <f t="shared" si="26"/>
        <v>295</v>
      </c>
      <c r="N374" s="19">
        <f t="shared" si="27"/>
        <v>45512</v>
      </c>
      <c r="O374" s="18" t="b">
        <f t="shared" si="28"/>
        <v>0</v>
      </c>
      <c r="P374" s="43" t="str">
        <f>IF(O374,swap_curve!$B$19,"")</f>
        <v/>
      </c>
      <c r="Q374" t="str">
        <f t="shared" si="29"/>
        <v/>
      </c>
      <c r="R374" t="str" cm="1">
        <f t="array" ref="R374">IF(O374,BSCall(swap_curve!$B$20,imvol!M374,imvol!P374,imvol!Q374,YEARFRAC(swap_curve!$C$1,imvol!N374)),"")</f>
        <v/>
      </c>
      <c r="S374" s="20" t="str">
        <f t="shared" si="25"/>
        <v/>
      </c>
    </row>
    <row r="375" spans="1:19" x14ac:dyDescent="0.3">
      <c r="A375" s="23" t="s">
        <v>1204</v>
      </c>
      <c r="B375" s="23" t="s">
        <v>1205</v>
      </c>
      <c r="C375" s="24" t="s">
        <v>23</v>
      </c>
      <c r="D375" s="24" t="s">
        <v>23</v>
      </c>
      <c r="E375" s="24" t="s">
        <v>23</v>
      </c>
      <c r="F375" s="24" t="s">
        <v>23</v>
      </c>
      <c r="G375" s="24" t="s">
        <v>23</v>
      </c>
      <c r="H375" s="24">
        <v>16.100000000000001</v>
      </c>
      <c r="I375" s="24">
        <v>66.400000000000006</v>
      </c>
      <c r="J375" s="25">
        <v>0</v>
      </c>
      <c r="K375" s="25">
        <v>0</v>
      </c>
      <c r="L375" s="25">
        <v>0</v>
      </c>
      <c r="M375" s="18">
        <f t="shared" si="26"/>
        <v>300</v>
      </c>
      <c r="N375" s="19">
        <f t="shared" si="27"/>
        <v>45512</v>
      </c>
      <c r="O375" s="18" t="b">
        <f t="shared" si="28"/>
        <v>0</v>
      </c>
      <c r="P375" s="43" t="str">
        <f>IF(O375,swap_curve!$B$19,"")</f>
        <v/>
      </c>
      <c r="Q375" t="str">
        <f t="shared" si="29"/>
        <v/>
      </c>
      <c r="R375" t="str" cm="1">
        <f t="array" ref="R375">IF(O375,BSCall(swap_curve!$B$20,imvol!M375,imvol!P375,imvol!Q375,YEARFRAC(swap_curve!$C$1,imvol!N375)),"")</f>
        <v/>
      </c>
      <c r="S375" s="20" t="str">
        <f t="shared" si="25"/>
        <v/>
      </c>
    </row>
    <row r="376" spans="1:19" x14ac:dyDescent="0.3">
      <c r="A376" s="23" t="s">
        <v>1206</v>
      </c>
      <c r="B376" s="23" t="s">
        <v>1207</v>
      </c>
      <c r="C376" s="24" t="s">
        <v>23</v>
      </c>
      <c r="D376" s="24" t="s">
        <v>23</v>
      </c>
      <c r="E376" s="24" t="s">
        <v>23</v>
      </c>
      <c r="F376" s="24" t="s">
        <v>23</v>
      </c>
      <c r="G376" s="24" t="s">
        <v>23</v>
      </c>
      <c r="H376" s="24">
        <v>16.100000000000001</v>
      </c>
      <c r="I376" s="24">
        <v>61.5</v>
      </c>
      <c r="J376" s="25">
        <v>0</v>
      </c>
      <c r="K376" s="25">
        <v>0</v>
      </c>
      <c r="L376" s="25">
        <v>0</v>
      </c>
      <c r="M376" s="18">
        <f t="shared" si="26"/>
        <v>305</v>
      </c>
      <c r="N376" s="19">
        <f t="shared" si="27"/>
        <v>45512</v>
      </c>
      <c r="O376" s="18" t="b">
        <f t="shared" si="28"/>
        <v>0</v>
      </c>
      <c r="P376" s="43" t="str">
        <f>IF(O376,swap_curve!$B$19,"")</f>
        <v/>
      </c>
      <c r="Q376" t="str">
        <f t="shared" si="29"/>
        <v/>
      </c>
      <c r="R376" t="str" cm="1">
        <f t="array" ref="R376">IF(O376,BSCall(swap_curve!$B$20,imvol!M376,imvol!P376,imvol!Q376,YEARFRAC(swap_curve!$C$1,imvol!N376)),"")</f>
        <v/>
      </c>
      <c r="S376" s="20" t="str">
        <f t="shared" si="25"/>
        <v/>
      </c>
    </row>
    <row r="377" spans="1:19" x14ac:dyDescent="0.3">
      <c r="A377" s="23" t="s">
        <v>1208</v>
      </c>
      <c r="B377" s="23" t="s">
        <v>1209</v>
      </c>
      <c r="C377" s="24" t="s">
        <v>23</v>
      </c>
      <c r="D377" s="24" t="s">
        <v>23</v>
      </c>
      <c r="E377" s="24" t="s">
        <v>23</v>
      </c>
      <c r="F377" s="24" t="s">
        <v>23</v>
      </c>
      <c r="G377" s="24" t="s">
        <v>23</v>
      </c>
      <c r="H377" s="24">
        <v>16.100000000000001</v>
      </c>
      <c r="I377" s="24">
        <v>56.65</v>
      </c>
      <c r="J377" s="25">
        <v>0</v>
      </c>
      <c r="K377" s="25">
        <v>0</v>
      </c>
      <c r="L377" s="25">
        <v>0</v>
      </c>
      <c r="M377" s="18">
        <f t="shared" si="26"/>
        <v>310</v>
      </c>
      <c r="N377" s="19">
        <f t="shared" si="27"/>
        <v>45512</v>
      </c>
      <c r="O377" s="18" t="b">
        <f t="shared" si="28"/>
        <v>0</v>
      </c>
      <c r="P377" s="43" t="str">
        <f>IF(O377,swap_curve!$B$19,"")</f>
        <v/>
      </c>
      <c r="Q377" t="str">
        <f t="shared" si="29"/>
        <v/>
      </c>
      <c r="R377" t="str" cm="1">
        <f t="array" ref="R377">IF(O377,BSCall(swap_curve!$B$20,imvol!M377,imvol!P377,imvol!Q377,YEARFRAC(swap_curve!$C$1,imvol!N377)),"")</f>
        <v/>
      </c>
      <c r="S377" s="20" t="str">
        <f t="shared" si="25"/>
        <v/>
      </c>
    </row>
    <row r="378" spans="1:19" x14ac:dyDescent="0.3">
      <c r="A378" s="23" t="s">
        <v>1210</v>
      </c>
      <c r="B378" s="23" t="s">
        <v>1211</v>
      </c>
      <c r="C378" s="24" t="s">
        <v>23</v>
      </c>
      <c r="D378" s="24" t="s">
        <v>23</v>
      </c>
      <c r="E378" s="24" t="s">
        <v>23</v>
      </c>
      <c r="F378" s="24" t="s">
        <v>23</v>
      </c>
      <c r="G378" s="24" t="s">
        <v>23</v>
      </c>
      <c r="H378" s="24">
        <v>16.100000000000001</v>
      </c>
      <c r="I378" s="24">
        <v>51.9</v>
      </c>
      <c r="J378" s="25">
        <v>0</v>
      </c>
      <c r="K378" s="25">
        <v>0</v>
      </c>
      <c r="L378" s="25">
        <v>0</v>
      </c>
      <c r="M378" s="18">
        <f t="shared" si="26"/>
        <v>315</v>
      </c>
      <c r="N378" s="19">
        <f t="shared" si="27"/>
        <v>45512</v>
      </c>
      <c r="O378" s="18" t="b">
        <f t="shared" si="28"/>
        <v>0</v>
      </c>
      <c r="P378" s="43" t="str">
        <f>IF(O378,swap_curve!$B$19,"")</f>
        <v/>
      </c>
      <c r="Q378" t="str">
        <f t="shared" si="29"/>
        <v/>
      </c>
      <c r="R378" t="str" cm="1">
        <f t="array" ref="R378">IF(O378,BSCall(swap_curve!$B$20,imvol!M378,imvol!P378,imvol!Q378,YEARFRAC(swap_curve!$C$1,imvol!N378)),"")</f>
        <v/>
      </c>
      <c r="S378" s="20" t="str">
        <f t="shared" si="25"/>
        <v/>
      </c>
    </row>
    <row r="379" spans="1:19" x14ac:dyDescent="0.3">
      <c r="A379" s="23" t="s">
        <v>1212</v>
      </c>
      <c r="B379" s="23" t="s">
        <v>1213</v>
      </c>
      <c r="C379" s="24" t="s">
        <v>23</v>
      </c>
      <c r="D379" s="24" t="s">
        <v>23</v>
      </c>
      <c r="E379" s="24" t="s">
        <v>23</v>
      </c>
      <c r="F379" s="24" t="s">
        <v>23</v>
      </c>
      <c r="G379" s="24" t="s">
        <v>23</v>
      </c>
      <c r="H379" s="24">
        <v>16.100000000000001</v>
      </c>
      <c r="I379" s="24">
        <v>47.15</v>
      </c>
      <c r="J379" s="25">
        <v>0</v>
      </c>
      <c r="K379" s="25">
        <v>0</v>
      </c>
      <c r="L379" s="25">
        <v>0</v>
      </c>
      <c r="M379" s="18">
        <f t="shared" si="26"/>
        <v>320</v>
      </c>
      <c r="N379" s="19">
        <f t="shared" si="27"/>
        <v>45512</v>
      </c>
      <c r="O379" s="18" t="b">
        <f t="shared" si="28"/>
        <v>0</v>
      </c>
      <c r="P379" s="43" t="str">
        <f>IF(O379,swap_curve!$B$19,"")</f>
        <v/>
      </c>
      <c r="Q379" t="str">
        <f t="shared" si="29"/>
        <v/>
      </c>
      <c r="R379" t="str" cm="1">
        <f t="array" ref="R379">IF(O379,BSCall(swap_curve!$B$20,imvol!M379,imvol!P379,imvol!Q379,YEARFRAC(swap_curve!$C$1,imvol!N379)),"")</f>
        <v/>
      </c>
      <c r="S379" s="20" t="str">
        <f t="shared" si="25"/>
        <v/>
      </c>
    </row>
    <row r="380" spans="1:19" x14ac:dyDescent="0.3">
      <c r="A380" s="23" t="s">
        <v>1214</v>
      </c>
      <c r="B380" s="23" t="s">
        <v>1215</v>
      </c>
      <c r="C380" s="24" t="s">
        <v>23</v>
      </c>
      <c r="D380" s="24" t="s">
        <v>23</v>
      </c>
      <c r="E380" s="24" t="s">
        <v>23</v>
      </c>
      <c r="F380" s="24" t="s">
        <v>23</v>
      </c>
      <c r="G380" s="24" t="s">
        <v>23</v>
      </c>
      <c r="H380" s="24">
        <v>16.100000000000001</v>
      </c>
      <c r="I380" s="24">
        <v>42.55</v>
      </c>
      <c r="J380" s="25">
        <v>0</v>
      </c>
      <c r="K380" s="25">
        <v>0</v>
      </c>
      <c r="L380" s="25">
        <v>0</v>
      </c>
      <c r="M380" s="18">
        <f t="shared" si="26"/>
        <v>325</v>
      </c>
      <c r="N380" s="19">
        <f t="shared" si="27"/>
        <v>45512</v>
      </c>
      <c r="O380" s="18" t="b">
        <f t="shared" si="28"/>
        <v>0</v>
      </c>
      <c r="P380" s="43" t="str">
        <f>IF(O380,swap_curve!$B$19,"")</f>
        <v/>
      </c>
      <c r="Q380" t="str">
        <f t="shared" si="29"/>
        <v/>
      </c>
      <c r="R380" t="str" cm="1">
        <f t="array" ref="R380">IF(O380,BSCall(swap_curve!$B$20,imvol!M380,imvol!P380,imvol!Q380,YEARFRAC(swap_curve!$C$1,imvol!N380)),"")</f>
        <v/>
      </c>
      <c r="S380" s="20" t="str">
        <f t="shared" si="25"/>
        <v/>
      </c>
    </row>
    <row r="381" spans="1:19" x14ac:dyDescent="0.3">
      <c r="A381" s="23" t="s">
        <v>1216</v>
      </c>
      <c r="B381" s="23" t="s">
        <v>1217</v>
      </c>
      <c r="C381" s="24" t="s">
        <v>23</v>
      </c>
      <c r="D381" s="24" t="s">
        <v>23</v>
      </c>
      <c r="E381" s="24" t="s">
        <v>23</v>
      </c>
      <c r="F381" s="24" t="s">
        <v>23</v>
      </c>
      <c r="G381" s="24" t="s">
        <v>23</v>
      </c>
      <c r="H381" s="24">
        <v>16.100000000000001</v>
      </c>
      <c r="I381" s="24">
        <v>38.1</v>
      </c>
      <c r="J381" s="25">
        <v>0</v>
      </c>
      <c r="K381" s="25">
        <v>0</v>
      </c>
      <c r="L381" s="25">
        <v>0</v>
      </c>
      <c r="M381" s="18">
        <f t="shared" si="26"/>
        <v>330</v>
      </c>
      <c r="N381" s="19">
        <f t="shared" si="27"/>
        <v>45512</v>
      </c>
      <c r="O381" s="18" t="b">
        <f t="shared" si="28"/>
        <v>0</v>
      </c>
      <c r="P381" s="43" t="str">
        <f>IF(O381,swap_curve!$B$19,"")</f>
        <v/>
      </c>
      <c r="Q381" t="str">
        <f t="shared" si="29"/>
        <v/>
      </c>
      <c r="R381" t="str" cm="1">
        <f t="array" ref="R381">IF(O381,BSCall(swap_curve!$B$20,imvol!M381,imvol!P381,imvol!Q381,YEARFRAC(swap_curve!$C$1,imvol!N381)),"")</f>
        <v/>
      </c>
      <c r="S381" s="20" t="str">
        <f t="shared" si="25"/>
        <v/>
      </c>
    </row>
    <row r="382" spans="1:19" x14ac:dyDescent="0.3">
      <c r="A382" s="23" t="s">
        <v>1218</v>
      </c>
      <c r="B382" s="23" t="s">
        <v>1219</v>
      </c>
      <c r="C382" s="24" t="s">
        <v>23</v>
      </c>
      <c r="D382" s="24" t="s">
        <v>23</v>
      </c>
      <c r="E382" s="24" t="s">
        <v>23</v>
      </c>
      <c r="F382" s="24" t="s">
        <v>23</v>
      </c>
      <c r="G382" s="24" t="s">
        <v>23</v>
      </c>
      <c r="H382" s="24">
        <v>16.100000000000001</v>
      </c>
      <c r="I382" s="24">
        <v>33.799999999999997</v>
      </c>
      <c r="J382" s="25">
        <v>0</v>
      </c>
      <c r="K382" s="25">
        <v>0</v>
      </c>
      <c r="L382" s="25">
        <v>0</v>
      </c>
      <c r="M382" s="18">
        <f t="shared" si="26"/>
        <v>335</v>
      </c>
      <c r="N382" s="19">
        <f t="shared" si="27"/>
        <v>45512</v>
      </c>
      <c r="O382" s="18" t="b">
        <f t="shared" si="28"/>
        <v>0</v>
      </c>
      <c r="P382" s="43" t="str">
        <f>IF(O382,swap_curve!$B$19,"")</f>
        <v/>
      </c>
      <c r="Q382" t="str">
        <f t="shared" si="29"/>
        <v/>
      </c>
      <c r="R382" t="str" cm="1">
        <f t="array" ref="R382">IF(O382,BSCall(swap_curve!$B$20,imvol!M382,imvol!P382,imvol!Q382,YEARFRAC(swap_curve!$C$1,imvol!N382)),"")</f>
        <v/>
      </c>
      <c r="S382" s="20" t="str">
        <f t="shared" si="25"/>
        <v/>
      </c>
    </row>
    <row r="383" spans="1:19" x14ac:dyDescent="0.3">
      <c r="A383" s="23" t="s">
        <v>1220</v>
      </c>
      <c r="B383" s="23" t="s">
        <v>1221</v>
      </c>
      <c r="C383" s="24" t="s">
        <v>23</v>
      </c>
      <c r="D383" s="24" t="s">
        <v>23</v>
      </c>
      <c r="E383" s="24" t="s">
        <v>23</v>
      </c>
      <c r="F383" s="24" t="s">
        <v>23</v>
      </c>
      <c r="G383" s="24" t="s">
        <v>23</v>
      </c>
      <c r="H383" s="24">
        <v>16.100000000000001</v>
      </c>
      <c r="I383" s="24">
        <v>29.7</v>
      </c>
      <c r="J383" s="25">
        <v>0</v>
      </c>
      <c r="K383" s="25">
        <v>0</v>
      </c>
      <c r="L383" s="25">
        <v>0</v>
      </c>
      <c r="M383" s="18">
        <f t="shared" si="26"/>
        <v>340</v>
      </c>
      <c r="N383" s="19">
        <f t="shared" si="27"/>
        <v>45512</v>
      </c>
      <c r="O383" s="18" t="b">
        <f t="shared" si="28"/>
        <v>0</v>
      </c>
      <c r="P383" s="43" t="str">
        <f>IF(O383,swap_curve!$B$19,"")</f>
        <v/>
      </c>
      <c r="Q383" t="str">
        <f t="shared" si="29"/>
        <v/>
      </c>
      <c r="R383" t="str" cm="1">
        <f t="array" ref="R383">IF(O383,BSCall(swap_curve!$B$20,imvol!M383,imvol!P383,imvol!Q383,YEARFRAC(swap_curve!$C$1,imvol!N383)),"")</f>
        <v/>
      </c>
      <c r="S383" s="20" t="str">
        <f t="shared" ref="S383:S446" si="30">IF(O383,R383-C383,"")</f>
        <v/>
      </c>
    </row>
    <row r="384" spans="1:19" x14ac:dyDescent="0.3">
      <c r="A384" s="23" t="s">
        <v>1222</v>
      </c>
      <c r="B384" s="23" t="s">
        <v>1223</v>
      </c>
      <c r="C384" s="24" t="s">
        <v>23</v>
      </c>
      <c r="D384" s="24" t="s">
        <v>23</v>
      </c>
      <c r="E384" s="24" t="s">
        <v>23</v>
      </c>
      <c r="F384" s="24" t="s">
        <v>23</v>
      </c>
      <c r="G384" s="24" t="s">
        <v>23</v>
      </c>
      <c r="H384" s="24">
        <v>16.100000000000001</v>
      </c>
      <c r="I384" s="24">
        <v>25.85</v>
      </c>
      <c r="J384" s="25">
        <v>0</v>
      </c>
      <c r="K384" s="25">
        <v>0</v>
      </c>
      <c r="L384" s="25">
        <v>0</v>
      </c>
      <c r="M384" s="18">
        <f t="shared" si="26"/>
        <v>345</v>
      </c>
      <c r="N384" s="19">
        <f t="shared" si="27"/>
        <v>45512</v>
      </c>
      <c r="O384" s="18" t="b">
        <f t="shared" si="28"/>
        <v>0</v>
      </c>
      <c r="P384" s="43" t="str">
        <f>IF(O384,swap_curve!$B$19,"")</f>
        <v/>
      </c>
      <c r="Q384" t="str">
        <f t="shared" si="29"/>
        <v/>
      </c>
      <c r="R384" t="str" cm="1">
        <f t="array" ref="R384">IF(O384,BSCall(swap_curve!$B$20,imvol!M384,imvol!P384,imvol!Q384,YEARFRAC(swap_curve!$C$1,imvol!N384)),"")</f>
        <v/>
      </c>
      <c r="S384" s="20" t="str">
        <f t="shared" si="30"/>
        <v/>
      </c>
    </row>
    <row r="385" spans="1:19" x14ac:dyDescent="0.3">
      <c r="A385" s="23" t="s">
        <v>1224</v>
      </c>
      <c r="B385" s="23" t="s">
        <v>1225</v>
      </c>
      <c r="C385" s="24" t="s">
        <v>23</v>
      </c>
      <c r="D385" s="24" t="s">
        <v>23</v>
      </c>
      <c r="E385" s="24" t="s">
        <v>23</v>
      </c>
      <c r="F385" s="24" t="s">
        <v>23</v>
      </c>
      <c r="G385" s="24" t="s">
        <v>23</v>
      </c>
      <c r="H385" s="24">
        <v>16.100000000000001</v>
      </c>
      <c r="I385" s="24">
        <v>22.2</v>
      </c>
      <c r="J385" s="25">
        <v>0</v>
      </c>
      <c r="K385" s="25">
        <v>0</v>
      </c>
      <c r="L385" s="25">
        <v>0</v>
      </c>
      <c r="M385" s="18">
        <f t="shared" si="26"/>
        <v>350</v>
      </c>
      <c r="N385" s="19">
        <f t="shared" si="27"/>
        <v>45512</v>
      </c>
      <c r="O385" s="18" t="b">
        <f t="shared" si="28"/>
        <v>0</v>
      </c>
      <c r="P385" s="43" t="str">
        <f>IF(O385,swap_curve!$B$19,"")</f>
        <v/>
      </c>
      <c r="Q385" t="str">
        <f t="shared" si="29"/>
        <v/>
      </c>
      <c r="R385" t="str" cm="1">
        <f t="array" ref="R385">IF(O385,BSCall(swap_curve!$B$20,imvol!M385,imvol!P385,imvol!Q385,YEARFRAC(swap_curve!$C$1,imvol!N385)),"")</f>
        <v/>
      </c>
      <c r="S385" s="20" t="str">
        <f t="shared" si="30"/>
        <v/>
      </c>
    </row>
    <row r="386" spans="1:19" x14ac:dyDescent="0.3">
      <c r="A386" s="23" t="s">
        <v>1226</v>
      </c>
      <c r="B386" s="23" t="s">
        <v>1227</v>
      </c>
      <c r="C386" s="24" t="s">
        <v>23</v>
      </c>
      <c r="D386" s="24" t="s">
        <v>23</v>
      </c>
      <c r="E386" s="24" t="s">
        <v>23</v>
      </c>
      <c r="F386" s="24" t="s">
        <v>23</v>
      </c>
      <c r="G386" s="24" t="s">
        <v>23</v>
      </c>
      <c r="H386" s="24">
        <v>16.100000000000001</v>
      </c>
      <c r="I386" s="24">
        <v>19</v>
      </c>
      <c r="J386" s="25">
        <v>0</v>
      </c>
      <c r="K386" s="25">
        <v>0</v>
      </c>
      <c r="L386" s="25">
        <v>0</v>
      </c>
      <c r="M386" s="18">
        <f t="shared" si="26"/>
        <v>355</v>
      </c>
      <c r="N386" s="19">
        <f t="shared" si="27"/>
        <v>45512</v>
      </c>
      <c r="O386" s="18" t="b">
        <f t="shared" ref="O386:O449" si="31">IF(J386&gt;100, TRUE,FALSE)</f>
        <v>0</v>
      </c>
      <c r="P386" s="43" t="str">
        <f>IF(O386,swap_curve!$B$19,"")</f>
        <v/>
      </c>
      <c r="Q386" t="str">
        <f t="shared" si="29"/>
        <v/>
      </c>
      <c r="R386" t="str" cm="1">
        <f t="array" ref="R386">IF(O386,BSCall(swap_curve!$B$20,imvol!M386,imvol!P386,imvol!Q386,YEARFRAC(swap_curve!$C$1,imvol!N386)),"")</f>
        <v/>
      </c>
      <c r="S386" s="20" t="str">
        <f t="shared" si="30"/>
        <v/>
      </c>
    </row>
    <row r="387" spans="1:19" x14ac:dyDescent="0.3">
      <c r="A387" s="23" t="s">
        <v>1228</v>
      </c>
      <c r="B387" s="23" t="s">
        <v>1229</v>
      </c>
      <c r="C387" s="24" t="s">
        <v>23</v>
      </c>
      <c r="D387" s="24" t="s">
        <v>23</v>
      </c>
      <c r="E387" s="24" t="s">
        <v>23</v>
      </c>
      <c r="F387" s="24" t="s">
        <v>23</v>
      </c>
      <c r="G387" s="24" t="s">
        <v>23</v>
      </c>
      <c r="H387" s="24">
        <v>16.100000000000001</v>
      </c>
      <c r="I387" s="24">
        <v>15.9</v>
      </c>
      <c r="J387" s="25">
        <v>0</v>
      </c>
      <c r="K387" s="25">
        <v>0</v>
      </c>
      <c r="L387" s="25">
        <v>0</v>
      </c>
      <c r="M387" s="18">
        <f t="shared" ref="M387:M450" si="32">VALUE(RIGHT(B387, 6))</f>
        <v>360</v>
      </c>
      <c r="N387" s="19">
        <f t="shared" ref="N387:N450" si="33">DATE(VALUE(LEFT(MID(B387,10,6),4)),VALUE(RIGHT(MID(B387,10,6),2)),1)+MOD(5-WEEKDAY(DATE(VALUE(LEFT(MID(B387,10,6),4)),VALUE(RIGHT(MID(B387,10,6),2)),1)),7)+7</f>
        <v>45512</v>
      </c>
      <c r="O387" s="18" t="b">
        <f t="shared" si="31"/>
        <v>0</v>
      </c>
      <c r="P387" s="43" t="str">
        <f>IF(O387,swap_curve!$B$19,"")</f>
        <v/>
      </c>
      <c r="Q387" t="str">
        <f t="shared" ref="Q387:Q450" si="34">IF(O387,H387%,"")</f>
        <v/>
      </c>
      <c r="R387" t="str" cm="1">
        <f t="array" ref="R387">IF(O387,BSCall(swap_curve!$B$20,imvol!M387,imvol!P387,imvol!Q387,YEARFRAC(swap_curve!$C$1,imvol!N387)),"")</f>
        <v/>
      </c>
      <c r="S387" s="20" t="str">
        <f t="shared" si="30"/>
        <v/>
      </c>
    </row>
    <row r="388" spans="1:19" x14ac:dyDescent="0.3">
      <c r="A388" s="23" t="s">
        <v>1230</v>
      </c>
      <c r="B388" s="23" t="s">
        <v>1231</v>
      </c>
      <c r="C388" s="24" t="s">
        <v>23</v>
      </c>
      <c r="D388" s="24" t="s">
        <v>23</v>
      </c>
      <c r="E388" s="24" t="s">
        <v>23</v>
      </c>
      <c r="F388" s="24" t="s">
        <v>23</v>
      </c>
      <c r="G388" s="24" t="s">
        <v>23</v>
      </c>
      <c r="H388" s="24">
        <v>16.100000000000001</v>
      </c>
      <c r="I388" s="24">
        <v>13.3</v>
      </c>
      <c r="J388" s="25">
        <v>0</v>
      </c>
      <c r="K388" s="25">
        <v>0</v>
      </c>
      <c r="L388" s="25">
        <v>2</v>
      </c>
      <c r="M388" s="18">
        <f t="shared" si="32"/>
        <v>365</v>
      </c>
      <c r="N388" s="19">
        <f t="shared" si="33"/>
        <v>45512</v>
      </c>
      <c r="O388" s="18" t="b">
        <f t="shared" si="31"/>
        <v>0</v>
      </c>
      <c r="P388" s="43" t="str">
        <f>IF(O388,swap_curve!$B$19,"")</f>
        <v/>
      </c>
      <c r="Q388" t="str">
        <f t="shared" si="34"/>
        <v/>
      </c>
      <c r="R388" t="str" cm="1">
        <f t="array" ref="R388">IF(O388,BSCall(swap_curve!$B$20,imvol!M388,imvol!P388,imvol!Q388,YEARFRAC(swap_curve!$C$1,imvol!N388)),"")</f>
        <v/>
      </c>
      <c r="S388" s="20" t="str">
        <f t="shared" si="30"/>
        <v/>
      </c>
    </row>
    <row r="389" spans="1:19" x14ac:dyDescent="0.3">
      <c r="A389" s="23" t="s">
        <v>1232</v>
      </c>
      <c r="B389" s="23" t="s">
        <v>1233</v>
      </c>
      <c r="C389" s="24" t="s">
        <v>23</v>
      </c>
      <c r="D389" s="24" t="s">
        <v>23</v>
      </c>
      <c r="E389" s="24" t="s">
        <v>23</v>
      </c>
      <c r="F389" s="24" t="s">
        <v>23</v>
      </c>
      <c r="G389" s="24" t="s">
        <v>23</v>
      </c>
      <c r="H389" s="24">
        <v>16.100000000000001</v>
      </c>
      <c r="I389" s="24">
        <v>10.9</v>
      </c>
      <c r="J389" s="25">
        <v>0</v>
      </c>
      <c r="K389" s="25">
        <v>0</v>
      </c>
      <c r="L389" s="25">
        <v>0</v>
      </c>
      <c r="M389" s="18">
        <f t="shared" si="32"/>
        <v>370</v>
      </c>
      <c r="N389" s="19">
        <f t="shared" si="33"/>
        <v>45512</v>
      </c>
      <c r="O389" s="18" t="b">
        <f t="shared" si="31"/>
        <v>0</v>
      </c>
      <c r="P389" s="43" t="str">
        <f>IF(O389,swap_curve!$B$19,"")</f>
        <v/>
      </c>
      <c r="Q389" t="str">
        <f t="shared" si="34"/>
        <v/>
      </c>
      <c r="R389" t="str" cm="1">
        <f t="array" ref="R389">IF(O389,BSCall(swap_curve!$B$20,imvol!M389,imvol!P389,imvol!Q389,YEARFRAC(swap_curve!$C$1,imvol!N389)),"")</f>
        <v/>
      </c>
      <c r="S389" s="20" t="str">
        <f t="shared" si="30"/>
        <v/>
      </c>
    </row>
    <row r="390" spans="1:19" x14ac:dyDescent="0.3">
      <c r="A390" s="23" t="s">
        <v>1234</v>
      </c>
      <c r="B390" s="23" t="s">
        <v>1235</v>
      </c>
      <c r="C390" s="24" t="s">
        <v>23</v>
      </c>
      <c r="D390" s="24" t="s">
        <v>23</v>
      </c>
      <c r="E390" s="24" t="s">
        <v>23</v>
      </c>
      <c r="F390" s="24" t="s">
        <v>23</v>
      </c>
      <c r="G390" s="24" t="s">
        <v>23</v>
      </c>
      <c r="H390" s="24">
        <v>16.100000000000001</v>
      </c>
      <c r="I390" s="24">
        <v>8.85</v>
      </c>
      <c r="J390" s="25">
        <v>0</v>
      </c>
      <c r="K390" s="25">
        <v>0</v>
      </c>
      <c r="L390" s="25">
        <v>1</v>
      </c>
      <c r="M390" s="18">
        <f t="shared" si="32"/>
        <v>375</v>
      </c>
      <c r="N390" s="19">
        <f t="shared" si="33"/>
        <v>45512</v>
      </c>
      <c r="O390" s="18" t="b">
        <f t="shared" si="31"/>
        <v>0</v>
      </c>
      <c r="P390" s="43" t="str">
        <f>IF(O390,swap_curve!$B$19,"")</f>
        <v/>
      </c>
      <c r="Q390" t="str">
        <f t="shared" si="34"/>
        <v/>
      </c>
      <c r="R390" t="str" cm="1">
        <f t="array" ref="R390">IF(O390,BSCall(swap_curve!$B$20,imvol!M390,imvol!P390,imvol!Q390,YEARFRAC(swap_curve!$C$1,imvol!N390)),"")</f>
        <v/>
      </c>
      <c r="S390" s="20" t="str">
        <f t="shared" si="30"/>
        <v/>
      </c>
    </row>
    <row r="391" spans="1:19" x14ac:dyDescent="0.3">
      <c r="A391" s="23" t="s">
        <v>1236</v>
      </c>
      <c r="B391" s="23" t="s">
        <v>1237</v>
      </c>
      <c r="C391" s="24" t="s">
        <v>23</v>
      </c>
      <c r="D391" s="24" t="s">
        <v>23</v>
      </c>
      <c r="E391" s="24" t="s">
        <v>23</v>
      </c>
      <c r="F391" s="24" t="s">
        <v>23</v>
      </c>
      <c r="G391" s="24" t="s">
        <v>23</v>
      </c>
      <c r="H391" s="24">
        <v>16.100000000000001</v>
      </c>
      <c r="I391" s="24">
        <v>7.13</v>
      </c>
      <c r="J391" s="25">
        <v>0</v>
      </c>
      <c r="K391" s="25">
        <v>0</v>
      </c>
      <c r="L391" s="25">
        <v>1</v>
      </c>
      <c r="M391" s="18">
        <f t="shared" si="32"/>
        <v>380</v>
      </c>
      <c r="N391" s="19">
        <f t="shared" si="33"/>
        <v>45512</v>
      </c>
      <c r="O391" s="18" t="b">
        <f t="shared" si="31"/>
        <v>0</v>
      </c>
      <c r="P391" s="43" t="str">
        <f>IF(O391,swap_curve!$B$19,"")</f>
        <v/>
      </c>
      <c r="Q391" t="str">
        <f t="shared" si="34"/>
        <v/>
      </c>
      <c r="R391" t="str" cm="1">
        <f t="array" ref="R391">IF(O391,BSCall(swap_curve!$B$20,imvol!M391,imvol!P391,imvol!Q391,YEARFRAC(swap_curve!$C$1,imvol!N391)),"")</f>
        <v/>
      </c>
      <c r="S391" s="20" t="str">
        <f t="shared" si="30"/>
        <v/>
      </c>
    </row>
    <row r="392" spans="1:19" x14ac:dyDescent="0.3">
      <c r="A392" s="23" t="s">
        <v>1238</v>
      </c>
      <c r="B392" s="23" t="s">
        <v>1239</v>
      </c>
      <c r="C392" s="24" t="s">
        <v>23</v>
      </c>
      <c r="D392" s="24" t="s">
        <v>23</v>
      </c>
      <c r="E392" s="24" t="s">
        <v>23</v>
      </c>
      <c r="F392" s="24" t="s">
        <v>23</v>
      </c>
      <c r="G392" s="24" t="s">
        <v>23</v>
      </c>
      <c r="H392" s="24">
        <v>16.100000000000001</v>
      </c>
      <c r="I392" s="24">
        <v>5.59</v>
      </c>
      <c r="J392" s="25">
        <v>0</v>
      </c>
      <c r="K392" s="25">
        <v>0</v>
      </c>
      <c r="L392" s="25">
        <v>0</v>
      </c>
      <c r="M392" s="18">
        <f t="shared" si="32"/>
        <v>385</v>
      </c>
      <c r="N392" s="19">
        <f t="shared" si="33"/>
        <v>45512</v>
      </c>
      <c r="O392" s="18" t="b">
        <f t="shared" si="31"/>
        <v>0</v>
      </c>
      <c r="P392" s="43" t="str">
        <f>IF(O392,swap_curve!$B$19,"")</f>
        <v/>
      </c>
      <c r="Q392" t="str">
        <f t="shared" si="34"/>
        <v/>
      </c>
      <c r="R392" t="str" cm="1">
        <f t="array" ref="R392">IF(O392,BSCall(swap_curve!$B$20,imvol!M392,imvol!P392,imvol!Q392,YEARFRAC(swap_curve!$C$1,imvol!N392)),"")</f>
        <v/>
      </c>
      <c r="S392" s="20" t="str">
        <f t="shared" si="30"/>
        <v/>
      </c>
    </row>
    <row r="393" spans="1:19" x14ac:dyDescent="0.3">
      <c r="A393" s="23" t="s">
        <v>1240</v>
      </c>
      <c r="B393" s="23" t="s">
        <v>1241</v>
      </c>
      <c r="C393" s="24" t="s">
        <v>23</v>
      </c>
      <c r="D393" s="24" t="s">
        <v>23</v>
      </c>
      <c r="E393" s="24" t="s">
        <v>23</v>
      </c>
      <c r="F393" s="24" t="s">
        <v>23</v>
      </c>
      <c r="G393" s="24" t="s">
        <v>23</v>
      </c>
      <c r="H393" s="24">
        <v>16.100000000000001</v>
      </c>
      <c r="I393" s="24">
        <v>4.42</v>
      </c>
      <c r="J393" s="25">
        <v>0</v>
      </c>
      <c r="K393" s="25">
        <v>0</v>
      </c>
      <c r="L393" s="25">
        <v>0</v>
      </c>
      <c r="M393" s="18">
        <f t="shared" si="32"/>
        <v>390</v>
      </c>
      <c r="N393" s="19">
        <f t="shared" si="33"/>
        <v>45512</v>
      </c>
      <c r="O393" s="18" t="b">
        <f t="shared" si="31"/>
        <v>0</v>
      </c>
      <c r="P393" s="43" t="str">
        <f>IF(O393,swap_curve!$B$19,"")</f>
        <v/>
      </c>
      <c r="Q393" t="str">
        <f t="shared" si="34"/>
        <v/>
      </c>
      <c r="R393" t="str" cm="1">
        <f t="array" ref="R393">IF(O393,BSCall(swap_curve!$B$20,imvol!M393,imvol!P393,imvol!Q393,YEARFRAC(swap_curve!$C$1,imvol!N393)),"")</f>
        <v/>
      </c>
      <c r="S393" s="20" t="str">
        <f t="shared" si="30"/>
        <v/>
      </c>
    </row>
    <row r="394" spans="1:19" x14ac:dyDescent="0.3">
      <c r="A394" s="23" t="s">
        <v>1242</v>
      </c>
      <c r="B394" s="23" t="s">
        <v>1243</v>
      </c>
      <c r="C394" s="24">
        <v>3.4</v>
      </c>
      <c r="D394" s="24">
        <v>0.7</v>
      </c>
      <c r="E394" s="24">
        <v>3.3</v>
      </c>
      <c r="F394" s="24">
        <v>3.4</v>
      </c>
      <c r="G394" s="24">
        <v>3.3</v>
      </c>
      <c r="H394" s="24">
        <v>16.100000000000001</v>
      </c>
      <c r="I394" s="24">
        <v>3.4</v>
      </c>
      <c r="J394" s="25">
        <v>2</v>
      </c>
      <c r="K394" s="25">
        <v>2</v>
      </c>
      <c r="L394" s="25">
        <v>69</v>
      </c>
      <c r="M394" s="18">
        <f t="shared" si="32"/>
        <v>395</v>
      </c>
      <c r="N394" s="19">
        <f t="shared" si="33"/>
        <v>45512</v>
      </c>
      <c r="O394" s="18" t="b">
        <f t="shared" si="31"/>
        <v>0</v>
      </c>
      <c r="P394" s="43" t="str">
        <f>IF(O394,swap_curve!$B$19,"")</f>
        <v/>
      </c>
      <c r="Q394" t="str">
        <f t="shared" si="34"/>
        <v/>
      </c>
      <c r="R394" t="str" cm="1">
        <f t="array" ref="R394">IF(O394,BSCall(swap_curve!$B$20,imvol!M394,imvol!P394,imvol!Q394,YEARFRAC(swap_curve!$C$1,imvol!N394)),"")</f>
        <v/>
      </c>
      <c r="S394" s="20" t="str">
        <f t="shared" si="30"/>
        <v/>
      </c>
    </row>
    <row r="395" spans="1:19" x14ac:dyDescent="0.3">
      <c r="A395" s="23" t="s">
        <v>1244</v>
      </c>
      <c r="B395" s="23" t="s">
        <v>1245</v>
      </c>
      <c r="C395" s="24" t="s">
        <v>23</v>
      </c>
      <c r="D395" s="24" t="s">
        <v>23</v>
      </c>
      <c r="E395" s="24" t="s">
        <v>23</v>
      </c>
      <c r="F395" s="24" t="s">
        <v>23</v>
      </c>
      <c r="G395" s="24" t="s">
        <v>23</v>
      </c>
      <c r="H395" s="24">
        <v>16.100000000000001</v>
      </c>
      <c r="I395" s="24">
        <v>2.61</v>
      </c>
      <c r="J395" s="25">
        <v>0</v>
      </c>
      <c r="K395" s="25">
        <v>0</v>
      </c>
      <c r="L395" s="25">
        <v>62</v>
      </c>
      <c r="M395" s="18">
        <f t="shared" si="32"/>
        <v>400</v>
      </c>
      <c r="N395" s="19">
        <f t="shared" si="33"/>
        <v>45512</v>
      </c>
      <c r="O395" s="18" t="b">
        <f t="shared" si="31"/>
        <v>0</v>
      </c>
      <c r="P395" s="43" t="str">
        <f>IF(O395,swap_curve!$B$19,"")</f>
        <v/>
      </c>
      <c r="Q395" t="str">
        <f t="shared" si="34"/>
        <v/>
      </c>
      <c r="R395" t="str" cm="1">
        <f t="array" ref="R395">IF(O395,BSCall(swap_curve!$B$20,imvol!M395,imvol!P395,imvol!Q395,YEARFRAC(swap_curve!$C$1,imvol!N395)),"")</f>
        <v/>
      </c>
      <c r="S395" s="20" t="str">
        <f t="shared" si="30"/>
        <v/>
      </c>
    </row>
    <row r="396" spans="1:19" x14ac:dyDescent="0.3">
      <c r="A396" s="23" t="s">
        <v>1246</v>
      </c>
      <c r="B396" s="23" t="s">
        <v>1247</v>
      </c>
      <c r="C396" s="24" t="s">
        <v>23</v>
      </c>
      <c r="D396" s="24" t="s">
        <v>23</v>
      </c>
      <c r="E396" s="24" t="s">
        <v>23</v>
      </c>
      <c r="F396" s="24" t="s">
        <v>23</v>
      </c>
      <c r="G396" s="24" t="s">
        <v>23</v>
      </c>
      <c r="H396" s="24">
        <v>16.100000000000001</v>
      </c>
      <c r="I396" s="24">
        <v>1.9</v>
      </c>
      <c r="J396" s="25">
        <v>0</v>
      </c>
      <c r="K396" s="25">
        <v>0</v>
      </c>
      <c r="L396" s="25">
        <v>32</v>
      </c>
      <c r="M396" s="18">
        <f t="shared" si="32"/>
        <v>405</v>
      </c>
      <c r="N396" s="19">
        <f t="shared" si="33"/>
        <v>45512</v>
      </c>
      <c r="O396" s="18" t="b">
        <f t="shared" si="31"/>
        <v>0</v>
      </c>
      <c r="P396" s="43" t="str">
        <f>IF(O396,swap_curve!$B$19,"")</f>
        <v/>
      </c>
      <c r="Q396" t="str">
        <f t="shared" si="34"/>
        <v/>
      </c>
      <c r="R396" t="str" cm="1">
        <f t="array" ref="R396">IF(O396,BSCall(swap_curve!$B$20,imvol!M396,imvol!P396,imvol!Q396,YEARFRAC(swap_curve!$C$1,imvol!N396)),"")</f>
        <v/>
      </c>
      <c r="S396" s="20" t="str">
        <f t="shared" si="30"/>
        <v/>
      </c>
    </row>
    <row r="397" spans="1:19" x14ac:dyDescent="0.3">
      <c r="A397" s="23" t="s">
        <v>1248</v>
      </c>
      <c r="B397" s="23" t="s">
        <v>1249</v>
      </c>
      <c r="C397" s="24">
        <v>1.48</v>
      </c>
      <c r="D397" s="24">
        <v>0.24</v>
      </c>
      <c r="E397" s="24">
        <v>1.48</v>
      </c>
      <c r="F397" s="24">
        <v>1.48</v>
      </c>
      <c r="G397" s="24">
        <v>1.48</v>
      </c>
      <c r="H397" s="24">
        <v>16.100000000000001</v>
      </c>
      <c r="I397" s="24">
        <v>1.48</v>
      </c>
      <c r="J397" s="25">
        <v>5</v>
      </c>
      <c r="K397" s="25">
        <v>2</v>
      </c>
      <c r="L397" s="25">
        <v>179</v>
      </c>
      <c r="M397" s="18">
        <f t="shared" si="32"/>
        <v>410</v>
      </c>
      <c r="N397" s="19">
        <f t="shared" si="33"/>
        <v>45512</v>
      </c>
      <c r="O397" s="18" t="b">
        <f t="shared" si="31"/>
        <v>0</v>
      </c>
      <c r="P397" s="43" t="str">
        <f>IF(O397,swap_curve!$B$19,"")</f>
        <v/>
      </c>
      <c r="Q397" t="str">
        <f t="shared" si="34"/>
        <v/>
      </c>
      <c r="R397" t="str" cm="1">
        <f t="array" ref="R397">IF(O397,BSCall(swap_curve!$B$20,imvol!M397,imvol!P397,imvol!Q397,YEARFRAC(swap_curve!$C$1,imvol!N397)),"")</f>
        <v/>
      </c>
      <c r="S397" s="20" t="str">
        <f t="shared" si="30"/>
        <v/>
      </c>
    </row>
    <row r="398" spans="1:19" x14ac:dyDescent="0.3">
      <c r="A398" s="23" t="s">
        <v>1250</v>
      </c>
      <c r="B398" s="23" t="s">
        <v>1251</v>
      </c>
      <c r="C398" s="24">
        <v>1.08</v>
      </c>
      <c r="D398" s="24">
        <v>0.15</v>
      </c>
      <c r="E398" s="24">
        <v>1.0900000000000001</v>
      </c>
      <c r="F398" s="24">
        <v>1.0900000000000001</v>
      </c>
      <c r="G398" s="24">
        <v>1.08</v>
      </c>
      <c r="H398" s="24">
        <v>16.3</v>
      </c>
      <c r="I398" s="24">
        <v>1.08</v>
      </c>
      <c r="J398" s="25">
        <v>8</v>
      </c>
      <c r="K398" s="25">
        <v>2</v>
      </c>
      <c r="L398" s="25">
        <v>130</v>
      </c>
      <c r="M398" s="18">
        <f t="shared" si="32"/>
        <v>415</v>
      </c>
      <c r="N398" s="19">
        <f t="shared" si="33"/>
        <v>45512</v>
      </c>
      <c r="O398" s="18" t="b">
        <v>1</v>
      </c>
      <c r="P398" s="43">
        <f>IF(O398,swap_curve!$B$19,"")</f>
        <v>3.5699999999999996E-2</v>
      </c>
      <c r="Q398">
        <v>0.16384553923019596</v>
      </c>
      <c r="R398" cm="1">
        <f t="array" ref="R398">IF(O398,BSCall(swap_curve!$B$20,imvol!M398,imvol!P398,imvol!Q398,YEARFRAC(swap_curve!$C$1,imvol!N398)),"")</f>
        <v>1.0491847223981559</v>
      </c>
      <c r="S398" s="20">
        <f t="shared" si="30"/>
        <v>-3.0815277601844215E-2</v>
      </c>
    </row>
    <row r="399" spans="1:19" x14ac:dyDescent="0.3">
      <c r="A399" s="23" t="s">
        <v>1252</v>
      </c>
      <c r="B399" s="23" t="s">
        <v>1253</v>
      </c>
      <c r="C399" s="24">
        <v>0.81</v>
      </c>
      <c r="D399" s="24">
        <v>0.11</v>
      </c>
      <c r="E399" s="24">
        <v>0.76</v>
      </c>
      <c r="F399" s="24">
        <v>0.81</v>
      </c>
      <c r="G399" s="24">
        <v>0.76</v>
      </c>
      <c r="H399" s="24">
        <v>16.3</v>
      </c>
      <c r="I399" s="24">
        <v>0.81</v>
      </c>
      <c r="J399" s="25">
        <v>9</v>
      </c>
      <c r="K399" s="25">
        <v>2</v>
      </c>
      <c r="L399" s="25">
        <v>79</v>
      </c>
      <c r="M399" s="18">
        <f t="shared" si="32"/>
        <v>420</v>
      </c>
      <c r="N399" s="19">
        <f t="shared" si="33"/>
        <v>45512</v>
      </c>
      <c r="O399" s="18" t="b">
        <v>1</v>
      </c>
      <c r="P399" s="43">
        <f>IF(O399,swap_curve!$B$19,"")</f>
        <v>3.5699999999999996E-2</v>
      </c>
      <c r="Q399">
        <v>0.16520690151314246</v>
      </c>
      <c r="R399" cm="1">
        <f t="array" ref="R399">IF(O399,BSCall(swap_curve!$B$20,imvol!M399,imvol!P399,imvol!Q399,YEARFRAC(swap_curve!$C$1,imvol!N399)),"")</f>
        <v>0.78602056835579504</v>
      </c>
      <c r="S399" s="20">
        <f t="shared" si="30"/>
        <v>-2.3979431644205018E-2</v>
      </c>
    </row>
    <row r="400" spans="1:19" x14ac:dyDescent="0.3">
      <c r="A400" s="23" t="s">
        <v>1254</v>
      </c>
      <c r="B400" s="23" t="s">
        <v>1255</v>
      </c>
      <c r="C400" s="24">
        <v>0.61</v>
      </c>
      <c r="D400" s="24">
        <v>0.09</v>
      </c>
      <c r="E400" s="24">
        <v>0.56999999999999995</v>
      </c>
      <c r="F400" s="24">
        <v>0.61</v>
      </c>
      <c r="G400" s="24">
        <v>0.56999999999999995</v>
      </c>
      <c r="H400" s="24">
        <v>16.5</v>
      </c>
      <c r="I400" s="24">
        <v>0.61</v>
      </c>
      <c r="J400" s="25">
        <v>12</v>
      </c>
      <c r="K400" s="25">
        <v>2</v>
      </c>
      <c r="L400" s="25">
        <v>109</v>
      </c>
      <c r="M400" s="18">
        <f t="shared" si="32"/>
        <v>425</v>
      </c>
      <c r="N400" s="19">
        <f t="shared" si="33"/>
        <v>45512</v>
      </c>
      <c r="O400" s="18" t="b">
        <v>1</v>
      </c>
      <c r="P400" s="43">
        <f>IF(O400,swap_curve!$B$19,"")</f>
        <v>3.5699999999999996E-2</v>
      </c>
      <c r="Q400">
        <v>0.16684742752827977</v>
      </c>
      <c r="R400" cm="1">
        <f t="array" ref="R400">IF(O400,BSCall(swap_curve!$B$20,imvol!M400,imvol!P400,imvol!Q400,YEARFRAC(swap_curve!$C$1,imvol!N400)),"")</f>
        <v>0.59135872888477081</v>
      </c>
      <c r="S400" s="20">
        <f t="shared" si="30"/>
        <v>-1.8641271115229174E-2</v>
      </c>
    </row>
    <row r="401" spans="1:19" x14ac:dyDescent="0.3">
      <c r="A401" s="23" t="s">
        <v>1256</v>
      </c>
      <c r="B401" s="23" t="s">
        <v>1257</v>
      </c>
      <c r="C401" s="24" t="s">
        <v>23</v>
      </c>
      <c r="D401" s="24" t="s">
        <v>23</v>
      </c>
      <c r="E401" s="24" t="s">
        <v>23</v>
      </c>
      <c r="F401" s="24" t="s">
        <v>23</v>
      </c>
      <c r="G401" s="24" t="s">
        <v>23</v>
      </c>
      <c r="H401" s="24">
        <v>16.75</v>
      </c>
      <c r="I401" s="24">
        <v>0.48</v>
      </c>
      <c r="J401" s="25">
        <v>0</v>
      </c>
      <c r="K401" s="25">
        <v>0</v>
      </c>
      <c r="L401" s="25">
        <v>162</v>
      </c>
      <c r="M401" s="18">
        <f t="shared" si="32"/>
        <v>430</v>
      </c>
      <c r="N401" s="19">
        <f t="shared" si="33"/>
        <v>45512</v>
      </c>
      <c r="O401" s="18" t="b">
        <f t="shared" si="31"/>
        <v>0</v>
      </c>
      <c r="P401" s="43" t="str">
        <f>IF(O401,swap_curve!$B$19,"")</f>
        <v/>
      </c>
      <c r="Q401" t="str">
        <f t="shared" si="34"/>
        <v/>
      </c>
      <c r="R401" t="str" cm="1">
        <f t="array" ref="R401">IF(O401,BSCall(swap_curve!$B$20,imvol!M401,imvol!P401,imvol!Q401,YEARFRAC(swap_curve!$C$1,imvol!N401)),"")</f>
        <v/>
      </c>
      <c r="S401" s="20" t="str">
        <f t="shared" si="30"/>
        <v/>
      </c>
    </row>
    <row r="402" spans="1:19" x14ac:dyDescent="0.3">
      <c r="A402" s="23" t="s">
        <v>1258</v>
      </c>
      <c r="B402" s="23" t="s">
        <v>1259</v>
      </c>
      <c r="C402" s="24" t="s">
        <v>23</v>
      </c>
      <c r="D402" s="24" t="s">
        <v>23</v>
      </c>
      <c r="E402" s="24" t="s">
        <v>23</v>
      </c>
      <c r="F402" s="24" t="s">
        <v>23</v>
      </c>
      <c r="G402" s="24" t="s">
        <v>23</v>
      </c>
      <c r="H402" s="24">
        <v>17</v>
      </c>
      <c r="I402" s="24">
        <v>0.38</v>
      </c>
      <c r="J402" s="25">
        <v>0</v>
      </c>
      <c r="K402" s="25">
        <v>0</v>
      </c>
      <c r="L402" s="25">
        <v>67</v>
      </c>
      <c r="M402" s="18">
        <f t="shared" si="32"/>
        <v>435</v>
      </c>
      <c r="N402" s="19">
        <f t="shared" si="33"/>
        <v>45512</v>
      </c>
      <c r="O402" s="18" t="b">
        <f t="shared" si="31"/>
        <v>0</v>
      </c>
      <c r="P402" s="43" t="str">
        <f>IF(O402,swap_curve!$B$19,"")</f>
        <v/>
      </c>
      <c r="Q402" t="str">
        <f t="shared" si="34"/>
        <v/>
      </c>
      <c r="R402" t="str" cm="1">
        <f t="array" ref="R402">IF(O402,BSCall(swap_curve!$B$20,imvol!M402,imvol!P402,imvol!Q402,YEARFRAC(swap_curve!$C$1,imvol!N402)),"")</f>
        <v/>
      </c>
      <c r="S402" s="20" t="str">
        <f t="shared" si="30"/>
        <v/>
      </c>
    </row>
    <row r="403" spans="1:19" x14ac:dyDescent="0.3">
      <c r="A403" s="23" t="s">
        <v>1260</v>
      </c>
      <c r="B403" s="23" t="s">
        <v>1261</v>
      </c>
      <c r="C403" s="24" t="s">
        <v>23</v>
      </c>
      <c r="D403" s="24" t="s">
        <v>23</v>
      </c>
      <c r="E403" s="24" t="s">
        <v>23</v>
      </c>
      <c r="F403" s="24" t="s">
        <v>23</v>
      </c>
      <c r="G403" s="24" t="s">
        <v>23</v>
      </c>
      <c r="H403" s="24">
        <v>17.25</v>
      </c>
      <c r="I403" s="24">
        <v>0.28999999999999998</v>
      </c>
      <c r="J403" s="25">
        <v>0</v>
      </c>
      <c r="K403" s="25">
        <v>0</v>
      </c>
      <c r="L403" s="25">
        <v>100</v>
      </c>
      <c r="M403" s="18">
        <f t="shared" si="32"/>
        <v>440</v>
      </c>
      <c r="N403" s="19">
        <f t="shared" si="33"/>
        <v>45512</v>
      </c>
      <c r="O403" s="18" t="b">
        <f t="shared" si="31"/>
        <v>0</v>
      </c>
      <c r="P403" s="43" t="str">
        <f>IF(O403,swap_curve!$B$19,"")</f>
        <v/>
      </c>
      <c r="Q403" t="str">
        <f t="shared" si="34"/>
        <v/>
      </c>
      <c r="R403" t="str" cm="1">
        <f t="array" ref="R403">IF(O403,BSCall(swap_curve!$B$20,imvol!M403,imvol!P403,imvol!Q403,YEARFRAC(swap_curve!$C$1,imvol!N403)),"")</f>
        <v/>
      </c>
      <c r="S403" s="20" t="str">
        <f t="shared" si="30"/>
        <v/>
      </c>
    </row>
    <row r="404" spans="1:19" x14ac:dyDescent="0.3">
      <c r="A404" s="23" t="s">
        <v>1262</v>
      </c>
      <c r="B404" s="23" t="s">
        <v>1263</v>
      </c>
      <c r="C404" s="24" t="s">
        <v>23</v>
      </c>
      <c r="D404" s="24" t="s">
        <v>23</v>
      </c>
      <c r="E404" s="24" t="s">
        <v>23</v>
      </c>
      <c r="F404" s="24" t="s">
        <v>23</v>
      </c>
      <c r="G404" s="24" t="s">
        <v>23</v>
      </c>
      <c r="H404" s="24">
        <v>17.5</v>
      </c>
      <c r="I404" s="24">
        <v>0.23</v>
      </c>
      <c r="J404" s="25">
        <v>0</v>
      </c>
      <c r="K404" s="25">
        <v>0</v>
      </c>
      <c r="L404" s="25">
        <v>257</v>
      </c>
      <c r="M404" s="18">
        <f t="shared" si="32"/>
        <v>445</v>
      </c>
      <c r="N404" s="19">
        <f t="shared" si="33"/>
        <v>45512</v>
      </c>
      <c r="O404" s="18" t="b">
        <f t="shared" si="31"/>
        <v>0</v>
      </c>
      <c r="P404" s="43" t="str">
        <f>IF(O404,swap_curve!$B$19,"")</f>
        <v/>
      </c>
      <c r="Q404" t="str">
        <f t="shared" si="34"/>
        <v/>
      </c>
      <c r="R404" t="str" cm="1">
        <f t="array" ref="R404">IF(O404,BSCall(swap_curve!$B$20,imvol!M404,imvol!P404,imvol!Q404,YEARFRAC(swap_curve!$C$1,imvol!N404)),"")</f>
        <v/>
      </c>
      <c r="S404" s="20" t="str">
        <f t="shared" si="30"/>
        <v/>
      </c>
    </row>
    <row r="405" spans="1:19" x14ac:dyDescent="0.3">
      <c r="A405" s="23" t="s">
        <v>1264</v>
      </c>
      <c r="B405" s="23" t="s">
        <v>1265</v>
      </c>
      <c r="C405" s="24" t="s">
        <v>23</v>
      </c>
      <c r="D405" s="24" t="s">
        <v>23</v>
      </c>
      <c r="E405" s="24" t="s">
        <v>23</v>
      </c>
      <c r="F405" s="24" t="s">
        <v>23</v>
      </c>
      <c r="G405" s="24" t="s">
        <v>23</v>
      </c>
      <c r="H405" s="24">
        <v>17.75</v>
      </c>
      <c r="I405" s="24">
        <v>0.19</v>
      </c>
      <c r="J405" s="25">
        <v>0</v>
      </c>
      <c r="K405" s="25">
        <v>0</v>
      </c>
      <c r="L405" s="25">
        <v>102</v>
      </c>
      <c r="M405" s="18">
        <f t="shared" si="32"/>
        <v>450</v>
      </c>
      <c r="N405" s="19">
        <f t="shared" si="33"/>
        <v>45512</v>
      </c>
      <c r="O405" s="18" t="b">
        <f t="shared" si="31"/>
        <v>0</v>
      </c>
      <c r="P405" s="43" t="str">
        <f>IF(O405,swap_curve!$B$19,"")</f>
        <v/>
      </c>
      <c r="Q405" t="str">
        <f t="shared" si="34"/>
        <v/>
      </c>
      <c r="R405" t="str" cm="1">
        <f t="array" ref="R405">IF(O405,BSCall(swap_curve!$B$20,imvol!M405,imvol!P405,imvol!Q405,YEARFRAC(swap_curve!$C$1,imvol!N405)),"")</f>
        <v/>
      </c>
      <c r="S405" s="20" t="str">
        <f t="shared" si="30"/>
        <v/>
      </c>
    </row>
    <row r="406" spans="1:19" x14ac:dyDescent="0.3">
      <c r="A406" s="23" t="s">
        <v>1266</v>
      </c>
      <c r="B406" s="23" t="s">
        <v>1267</v>
      </c>
      <c r="C406" s="24" t="s">
        <v>23</v>
      </c>
      <c r="D406" s="24" t="s">
        <v>23</v>
      </c>
      <c r="E406" s="24" t="s">
        <v>23</v>
      </c>
      <c r="F406" s="24" t="s">
        <v>23</v>
      </c>
      <c r="G406" s="24" t="s">
        <v>23</v>
      </c>
      <c r="H406" s="24">
        <v>18</v>
      </c>
      <c r="I406" s="24">
        <v>0.14000000000000001</v>
      </c>
      <c r="J406" s="25">
        <v>0</v>
      </c>
      <c r="K406" s="25">
        <v>0</v>
      </c>
      <c r="L406" s="25">
        <v>7</v>
      </c>
      <c r="M406" s="18">
        <f t="shared" si="32"/>
        <v>455</v>
      </c>
      <c r="N406" s="19">
        <f t="shared" si="33"/>
        <v>45512</v>
      </c>
      <c r="O406" s="18" t="b">
        <f t="shared" si="31"/>
        <v>0</v>
      </c>
      <c r="P406" s="43" t="str">
        <f>IF(O406,swap_curve!$B$19,"")</f>
        <v/>
      </c>
      <c r="Q406" t="str">
        <f t="shared" si="34"/>
        <v/>
      </c>
      <c r="R406" t="str" cm="1">
        <f t="array" ref="R406">IF(O406,BSCall(swap_curve!$B$20,imvol!M406,imvol!P406,imvol!Q406,YEARFRAC(swap_curve!$C$1,imvol!N406)),"")</f>
        <v/>
      </c>
      <c r="S406" s="20" t="str">
        <f t="shared" si="30"/>
        <v/>
      </c>
    </row>
    <row r="407" spans="1:19" x14ac:dyDescent="0.3">
      <c r="A407" s="23" t="s">
        <v>1268</v>
      </c>
      <c r="B407" s="23" t="s">
        <v>1269</v>
      </c>
      <c r="C407" s="24" t="s">
        <v>23</v>
      </c>
      <c r="D407" s="24" t="s">
        <v>23</v>
      </c>
      <c r="E407" s="24" t="s">
        <v>23</v>
      </c>
      <c r="F407" s="24" t="s">
        <v>23</v>
      </c>
      <c r="G407" s="24" t="s">
        <v>23</v>
      </c>
      <c r="H407" s="24">
        <v>18.25</v>
      </c>
      <c r="I407" s="24">
        <v>0.11</v>
      </c>
      <c r="J407" s="25">
        <v>0</v>
      </c>
      <c r="K407" s="25">
        <v>0</v>
      </c>
      <c r="L407" s="25">
        <v>22</v>
      </c>
      <c r="M407" s="18">
        <f t="shared" si="32"/>
        <v>460</v>
      </c>
      <c r="N407" s="19">
        <f t="shared" si="33"/>
        <v>45512</v>
      </c>
      <c r="O407" s="18" t="b">
        <f t="shared" si="31"/>
        <v>0</v>
      </c>
      <c r="P407" s="43" t="str">
        <f>IF(O407,swap_curve!$B$19,"")</f>
        <v/>
      </c>
      <c r="Q407" t="str">
        <f t="shared" si="34"/>
        <v/>
      </c>
      <c r="R407" t="str" cm="1">
        <f t="array" ref="R407">IF(O407,BSCall(swap_curve!$B$20,imvol!M407,imvol!P407,imvol!Q407,YEARFRAC(swap_curve!$C$1,imvol!N407)),"")</f>
        <v/>
      </c>
      <c r="S407" s="20" t="str">
        <f t="shared" si="30"/>
        <v/>
      </c>
    </row>
    <row r="408" spans="1:19" x14ac:dyDescent="0.3">
      <c r="A408" s="23" t="s">
        <v>1270</v>
      </c>
      <c r="B408" s="23" t="s">
        <v>1271</v>
      </c>
      <c r="C408" s="24" t="s">
        <v>23</v>
      </c>
      <c r="D408" s="24" t="s">
        <v>23</v>
      </c>
      <c r="E408" s="24" t="s">
        <v>23</v>
      </c>
      <c r="F408" s="24" t="s">
        <v>23</v>
      </c>
      <c r="G408" s="24" t="s">
        <v>23</v>
      </c>
      <c r="H408" s="24">
        <v>18.5</v>
      </c>
      <c r="I408" s="24">
        <v>0.09</v>
      </c>
      <c r="J408" s="25">
        <v>0</v>
      </c>
      <c r="K408" s="25">
        <v>0</v>
      </c>
      <c r="L408" s="25">
        <v>2</v>
      </c>
      <c r="M408" s="18">
        <f t="shared" si="32"/>
        <v>465</v>
      </c>
      <c r="N408" s="19">
        <f t="shared" si="33"/>
        <v>45512</v>
      </c>
      <c r="O408" s="18" t="b">
        <f t="shared" si="31"/>
        <v>0</v>
      </c>
      <c r="P408" s="43" t="str">
        <f>IF(O408,swap_curve!$B$19,"")</f>
        <v/>
      </c>
      <c r="Q408" t="str">
        <f t="shared" si="34"/>
        <v/>
      </c>
      <c r="R408" t="str" cm="1">
        <f t="array" ref="R408">IF(O408,BSCall(swap_curve!$B$20,imvol!M408,imvol!P408,imvol!Q408,YEARFRAC(swap_curve!$C$1,imvol!N408)),"")</f>
        <v/>
      </c>
      <c r="S408" s="20" t="str">
        <f t="shared" si="30"/>
        <v/>
      </c>
    </row>
    <row r="409" spans="1:19" x14ac:dyDescent="0.3">
      <c r="A409" s="23" t="s">
        <v>1272</v>
      </c>
      <c r="B409" s="23" t="s">
        <v>1273</v>
      </c>
      <c r="C409" s="24" t="s">
        <v>23</v>
      </c>
      <c r="D409" s="24" t="s">
        <v>23</v>
      </c>
      <c r="E409" s="24" t="s">
        <v>23</v>
      </c>
      <c r="F409" s="24" t="s">
        <v>23</v>
      </c>
      <c r="G409" s="24" t="s">
        <v>23</v>
      </c>
      <c r="H409" s="24">
        <v>18.75</v>
      </c>
      <c r="I409" s="24">
        <v>7.0000000000000007E-2</v>
      </c>
      <c r="J409" s="25">
        <v>0</v>
      </c>
      <c r="K409" s="25">
        <v>0</v>
      </c>
      <c r="L409" s="25">
        <v>21</v>
      </c>
      <c r="M409" s="18">
        <f t="shared" si="32"/>
        <v>470</v>
      </c>
      <c r="N409" s="19">
        <f t="shared" si="33"/>
        <v>45512</v>
      </c>
      <c r="O409" s="18" t="b">
        <f t="shared" si="31"/>
        <v>0</v>
      </c>
      <c r="P409" s="43" t="str">
        <f>IF(O409,swap_curve!$B$19,"")</f>
        <v/>
      </c>
      <c r="Q409" t="str">
        <f t="shared" si="34"/>
        <v/>
      </c>
      <c r="R409" t="str" cm="1">
        <f t="array" ref="R409">IF(O409,BSCall(swap_curve!$B$20,imvol!M409,imvol!P409,imvol!Q409,YEARFRAC(swap_curve!$C$1,imvol!N409)),"")</f>
        <v/>
      </c>
      <c r="S409" s="20" t="str">
        <f t="shared" si="30"/>
        <v/>
      </c>
    </row>
    <row r="410" spans="1:19" x14ac:dyDescent="0.3">
      <c r="A410" s="23" t="s">
        <v>1274</v>
      </c>
      <c r="B410" s="23" t="s">
        <v>1275</v>
      </c>
      <c r="C410" s="24">
        <v>0.05</v>
      </c>
      <c r="D410" s="24">
        <v>0</v>
      </c>
      <c r="E410" s="24">
        <v>0.05</v>
      </c>
      <c r="F410" s="24">
        <v>0.05</v>
      </c>
      <c r="G410" s="24">
        <v>0.05</v>
      </c>
      <c r="H410" s="24">
        <v>19</v>
      </c>
      <c r="I410" s="24">
        <v>0.05</v>
      </c>
      <c r="J410" s="25">
        <v>2</v>
      </c>
      <c r="K410" s="25">
        <v>0</v>
      </c>
      <c r="L410" s="25">
        <v>11</v>
      </c>
      <c r="M410" s="18">
        <f t="shared" si="32"/>
        <v>475</v>
      </c>
      <c r="N410" s="19">
        <f t="shared" si="33"/>
        <v>45512</v>
      </c>
      <c r="O410" s="18" t="b">
        <f t="shared" si="31"/>
        <v>0</v>
      </c>
      <c r="P410" s="43" t="str">
        <f>IF(O410,swap_curve!$B$19,"")</f>
        <v/>
      </c>
      <c r="Q410" t="str">
        <f t="shared" si="34"/>
        <v/>
      </c>
      <c r="R410" t="str" cm="1">
        <f t="array" ref="R410">IF(O410,BSCall(swap_curve!$B$20,imvol!M410,imvol!P410,imvol!Q410,YEARFRAC(swap_curve!$C$1,imvol!N410)),"")</f>
        <v/>
      </c>
      <c r="S410" s="20" t="str">
        <f t="shared" si="30"/>
        <v/>
      </c>
    </row>
    <row r="411" spans="1:19" x14ac:dyDescent="0.3">
      <c r="A411" s="23" t="s">
        <v>1276</v>
      </c>
      <c r="B411" s="23" t="s">
        <v>1277</v>
      </c>
      <c r="C411" s="24">
        <v>0.04</v>
      </c>
      <c r="D411" s="24">
        <v>0</v>
      </c>
      <c r="E411" s="24">
        <v>0.04</v>
      </c>
      <c r="F411" s="24">
        <v>0.04</v>
      </c>
      <c r="G411" s="24">
        <v>0.04</v>
      </c>
      <c r="H411" s="24">
        <v>19</v>
      </c>
      <c r="I411" s="24">
        <v>0.04</v>
      </c>
      <c r="J411" s="25">
        <v>1</v>
      </c>
      <c r="K411" s="25">
        <v>0</v>
      </c>
      <c r="L411" s="25">
        <v>10</v>
      </c>
      <c r="M411" s="18">
        <f t="shared" si="32"/>
        <v>480</v>
      </c>
      <c r="N411" s="19">
        <f t="shared" si="33"/>
        <v>45512</v>
      </c>
      <c r="O411" s="18" t="b">
        <f t="shared" si="31"/>
        <v>0</v>
      </c>
      <c r="P411" s="43" t="str">
        <f>IF(O411,swap_curve!$B$19,"")</f>
        <v/>
      </c>
      <c r="Q411" t="str">
        <f t="shared" si="34"/>
        <v/>
      </c>
      <c r="R411" t="str" cm="1">
        <f t="array" ref="R411">IF(O411,BSCall(swap_curve!$B$20,imvol!M411,imvol!P411,imvol!Q411,YEARFRAC(swap_curve!$C$1,imvol!N411)),"")</f>
        <v/>
      </c>
      <c r="S411" s="20" t="str">
        <f t="shared" si="30"/>
        <v/>
      </c>
    </row>
    <row r="412" spans="1:19" x14ac:dyDescent="0.3">
      <c r="A412" s="23" t="s">
        <v>1278</v>
      </c>
      <c r="B412" s="23" t="s">
        <v>1279</v>
      </c>
      <c r="C412" s="24" t="s">
        <v>23</v>
      </c>
      <c r="D412" s="24" t="s">
        <v>23</v>
      </c>
      <c r="E412" s="24" t="s">
        <v>23</v>
      </c>
      <c r="F412" s="24" t="s">
        <v>23</v>
      </c>
      <c r="G412" s="24" t="s">
        <v>23</v>
      </c>
      <c r="H412" s="24">
        <v>19.399999999999999</v>
      </c>
      <c r="I412" s="24">
        <v>0.04</v>
      </c>
      <c r="J412" s="25">
        <v>0</v>
      </c>
      <c r="K412" s="25">
        <v>0</v>
      </c>
      <c r="L412" s="25">
        <v>14</v>
      </c>
      <c r="M412" s="18">
        <f t="shared" si="32"/>
        <v>485</v>
      </c>
      <c r="N412" s="19">
        <f t="shared" si="33"/>
        <v>45512</v>
      </c>
      <c r="O412" s="18" t="b">
        <f t="shared" si="31"/>
        <v>0</v>
      </c>
      <c r="P412" s="43" t="str">
        <f>IF(O412,swap_curve!$B$19,"")</f>
        <v/>
      </c>
      <c r="Q412" t="str">
        <f t="shared" si="34"/>
        <v/>
      </c>
      <c r="R412" t="str" cm="1">
        <f t="array" ref="R412">IF(O412,BSCall(swap_curve!$B$20,imvol!M412,imvol!P412,imvol!Q412,YEARFRAC(swap_curve!$C$1,imvol!N412)),"")</f>
        <v/>
      </c>
      <c r="S412" s="20" t="str">
        <f t="shared" si="30"/>
        <v/>
      </c>
    </row>
    <row r="413" spans="1:19" x14ac:dyDescent="0.3">
      <c r="A413" s="23" t="s">
        <v>1280</v>
      </c>
      <c r="B413" s="23" t="s">
        <v>1281</v>
      </c>
      <c r="C413" s="24" t="s">
        <v>23</v>
      </c>
      <c r="D413" s="24" t="s">
        <v>23</v>
      </c>
      <c r="E413" s="24" t="s">
        <v>23</v>
      </c>
      <c r="F413" s="24" t="s">
        <v>23</v>
      </c>
      <c r="G413" s="24" t="s">
        <v>23</v>
      </c>
      <c r="H413" s="24">
        <v>19.8</v>
      </c>
      <c r="I413" s="24">
        <v>0.03</v>
      </c>
      <c r="J413" s="25">
        <v>0</v>
      </c>
      <c r="K413" s="25">
        <v>0</v>
      </c>
      <c r="L413" s="25">
        <v>14</v>
      </c>
      <c r="M413" s="18">
        <f t="shared" si="32"/>
        <v>490</v>
      </c>
      <c r="N413" s="19">
        <f t="shared" si="33"/>
        <v>45512</v>
      </c>
      <c r="O413" s="18" t="b">
        <f t="shared" si="31"/>
        <v>0</v>
      </c>
      <c r="P413" s="43" t="str">
        <f>IF(O413,swap_curve!$B$19,"")</f>
        <v/>
      </c>
      <c r="Q413" t="str">
        <f t="shared" si="34"/>
        <v/>
      </c>
      <c r="R413" t="str" cm="1">
        <f t="array" ref="R413">IF(O413,BSCall(swap_curve!$B$20,imvol!M413,imvol!P413,imvol!Q413,YEARFRAC(swap_curve!$C$1,imvol!N413)),"")</f>
        <v/>
      </c>
      <c r="S413" s="20" t="str">
        <f t="shared" si="30"/>
        <v/>
      </c>
    </row>
    <row r="414" spans="1:19" x14ac:dyDescent="0.3">
      <c r="A414" s="23" t="s">
        <v>1282</v>
      </c>
      <c r="B414" s="23" t="s">
        <v>1283</v>
      </c>
      <c r="C414" s="24">
        <v>0.03</v>
      </c>
      <c r="D414" s="24">
        <v>0</v>
      </c>
      <c r="E414" s="24">
        <v>0.02</v>
      </c>
      <c r="F414" s="24">
        <v>0.03</v>
      </c>
      <c r="G414" s="24">
        <v>0.02</v>
      </c>
      <c r="H414" s="24">
        <v>20.2</v>
      </c>
      <c r="I414" s="24">
        <v>0.03</v>
      </c>
      <c r="J414" s="25">
        <v>2</v>
      </c>
      <c r="K414" s="25">
        <v>0</v>
      </c>
      <c r="L414" s="25">
        <v>95</v>
      </c>
      <c r="M414" s="18">
        <f t="shared" si="32"/>
        <v>495</v>
      </c>
      <c r="N414" s="19">
        <f t="shared" si="33"/>
        <v>45512</v>
      </c>
      <c r="O414" s="18" t="b">
        <f t="shared" si="31"/>
        <v>0</v>
      </c>
      <c r="P414" s="43" t="str">
        <f>IF(O414,swap_curve!$B$19,"")</f>
        <v/>
      </c>
      <c r="Q414" t="str">
        <f t="shared" si="34"/>
        <v/>
      </c>
      <c r="R414" t="str" cm="1">
        <f t="array" ref="R414">IF(O414,BSCall(swap_curve!$B$20,imvol!M414,imvol!P414,imvol!Q414,YEARFRAC(swap_curve!$C$1,imvol!N414)),"")</f>
        <v/>
      </c>
      <c r="S414" s="20" t="str">
        <f t="shared" si="30"/>
        <v/>
      </c>
    </row>
    <row r="415" spans="1:19" x14ac:dyDescent="0.3">
      <c r="A415" s="23" t="s">
        <v>258</v>
      </c>
      <c r="B415" s="23" t="s">
        <v>259</v>
      </c>
      <c r="C415" s="24" t="s">
        <v>23</v>
      </c>
      <c r="D415" s="24" t="s">
        <v>23</v>
      </c>
      <c r="E415" s="24" t="s">
        <v>23</v>
      </c>
      <c r="F415" s="24" t="s">
        <v>23</v>
      </c>
      <c r="G415" s="24" t="s">
        <v>23</v>
      </c>
      <c r="H415" s="24">
        <v>16.3</v>
      </c>
      <c r="I415" s="24">
        <v>180.8</v>
      </c>
      <c r="J415" s="25">
        <v>0</v>
      </c>
      <c r="K415" s="25">
        <v>0</v>
      </c>
      <c r="L415" s="25">
        <v>0</v>
      </c>
      <c r="M415" s="18">
        <f t="shared" si="32"/>
        <v>185</v>
      </c>
      <c r="N415" s="19">
        <f t="shared" si="33"/>
        <v>45547</v>
      </c>
      <c r="O415" s="18" t="b">
        <f t="shared" si="31"/>
        <v>0</v>
      </c>
      <c r="P415" s="43" t="str">
        <f>IF(O415,swap_curve!$B$19,"")</f>
        <v/>
      </c>
      <c r="Q415" t="str">
        <f t="shared" si="34"/>
        <v/>
      </c>
      <c r="R415" t="str" cm="1">
        <f t="array" ref="R415">IF(O415,BSCall(swap_curve!$B$20,imvol!M415,imvol!P415,imvol!Q415,YEARFRAC(swap_curve!$C$1,imvol!N415)),"")</f>
        <v/>
      </c>
      <c r="S415" s="20" t="str">
        <f t="shared" si="30"/>
        <v/>
      </c>
    </row>
    <row r="416" spans="1:19" x14ac:dyDescent="0.3">
      <c r="A416" s="23" t="s">
        <v>260</v>
      </c>
      <c r="B416" s="23" t="s">
        <v>261</v>
      </c>
      <c r="C416" s="24" t="s">
        <v>23</v>
      </c>
      <c r="D416" s="24" t="s">
        <v>23</v>
      </c>
      <c r="E416" s="24" t="s">
        <v>23</v>
      </c>
      <c r="F416" s="24" t="s">
        <v>23</v>
      </c>
      <c r="G416" s="24" t="s">
        <v>23</v>
      </c>
      <c r="H416" s="24">
        <v>16.3</v>
      </c>
      <c r="I416" s="24">
        <v>175.9</v>
      </c>
      <c r="J416" s="25">
        <v>0</v>
      </c>
      <c r="K416" s="25">
        <v>0</v>
      </c>
      <c r="L416" s="25">
        <v>0</v>
      </c>
      <c r="M416" s="18">
        <f t="shared" si="32"/>
        <v>190</v>
      </c>
      <c r="N416" s="19">
        <f t="shared" si="33"/>
        <v>45547</v>
      </c>
      <c r="O416" s="18" t="b">
        <f t="shared" si="31"/>
        <v>0</v>
      </c>
      <c r="P416" s="43" t="str">
        <f>IF(O416,swap_curve!$B$19,"")</f>
        <v/>
      </c>
      <c r="Q416" t="str">
        <f t="shared" si="34"/>
        <v/>
      </c>
      <c r="R416" t="str" cm="1">
        <f t="array" ref="R416">IF(O416,BSCall(swap_curve!$B$20,imvol!M416,imvol!P416,imvol!Q416,YEARFRAC(swap_curve!$C$1,imvol!N416)),"")</f>
        <v/>
      </c>
      <c r="S416" s="20" t="str">
        <f t="shared" si="30"/>
        <v/>
      </c>
    </row>
    <row r="417" spans="1:19" x14ac:dyDescent="0.3">
      <c r="A417" s="23" t="s">
        <v>262</v>
      </c>
      <c r="B417" s="23" t="s">
        <v>263</v>
      </c>
      <c r="C417" s="24" t="s">
        <v>23</v>
      </c>
      <c r="D417" s="24" t="s">
        <v>23</v>
      </c>
      <c r="E417" s="24" t="s">
        <v>23</v>
      </c>
      <c r="F417" s="24" t="s">
        <v>23</v>
      </c>
      <c r="G417" s="24" t="s">
        <v>23</v>
      </c>
      <c r="H417" s="24">
        <v>16.3</v>
      </c>
      <c r="I417" s="24">
        <v>170.95</v>
      </c>
      <c r="J417" s="25">
        <v>0</v>
      </c>
      <c r="K417" s="25">
        <v>0</v>
      </c>
      <c r="L417" s="25">
        <v>0</v>
      </c>
      <c r="M417" s="18">
        <f t="shared" si="32"/>
        <v>195</v>
      </c>
      <c r="N417" s="19">
        <f t="shared" si="33"/>
        <v>45547</v>
      </c>
      <c r="O417" s="18" t="b">
        <f t="shared" si="31"/>
        <v>0</v>
      </c>
      <c r="P417" s="43" t="str">
        <f>IF(O417,swap_curve!$B$19,"")</f>
        <v/>
      </c>
      <c r="Q417" t="str">
        <f t="shared" si="34"/>
        <v/>
      </c>
      <c r="R417" t="str" cm="1">
        <f t="array" ref="R417">IF(O417,BSCall(swap_curve!$B$20,imvol!M417,imvol!P417,imvol!Q417,YEARFRAC(swap_curve!$C$1,imvol!N417)),"")</f>
        <v/>
      </c>
      <c r="S417" s="20" t="str">
        <f t="shared" si="30"/>
        <v/>
      </c>
    </row>
    <row r="418" spans="1:19" x14ac:dyDescent="0.3">
      <c r="A418" s="23" t="s">
        <v>264</v>
      </c>
      <c r="B418" s="23" t="s">
        <v>265</v>
      </c>
      <c r="C418" s="24" t="s">
        <v>23</v>
      </c>
      <c r="D418" s="24" t="s">
        <v>23</v>
      </c>
      <c r="E418" s="24" t="s">
        <v>23</v>
      </c>
      <c r="F418" s="24" t="s">
        <v>23</v>
      </c>
      <c r="G418" s="24" t="s">
        <v>23</v>
      </c>
      <c r="H418" s="24">
        <v>16.3</v>
      </c>
      <c r="I418" s="24">
        <v>166</v>
      </c>
      <c r="J418" s="25">
        <v>0</v>
      </c>
      <c r="K418" s="25">
        <v>0</v>
      </c>
      <c r="L418" s="25">
        <v>0</v>
      </c>
      <c r="M418" s="18">
        <f t="shared" si="32"/>
        <v>200</v>
      </c>
      <c r="N418" s="19">
        <f t="shared" si="33"/>
        <v>45547</v>
      </c>
      <c r="O418" s="18" t="b">
        <f t="shared" si="31"/>
        <v>0</v>
      </c>
      <c r="P418" s="43" t="str">
        <f>IF(O418,swap_curve!$B$19,"")</f>
        <v/>
      </c>
      <c r="Q418" t="str">
        <f t="shared" si="34"/>
        <v/>
      </c>
      <c r="R418" t="str" cm="1">
        <f t="array" ref="R418">IF(O418,BSCall(swap_curve!$B$20,imvol!M418,imvol!P418,imvol!Q418,YEARFRAC(swap_curve!$C$1,imvol!N418)),"")</f>
        <v/>
      </c>
      <c r="S418" s="20" t="str">
        <f t="shared" si="30"/>
        <v/>
      </c>
    </row>
    <row r="419" spans="1:19" x14ac:dyDescent="0.3">
      <c r="A419" s="23" t="s">
        <v>266</v>
      </c>
      <c r="B419" s="23" t="s">
        <v>267</v>
      </c>
      <c r="C419" s="24" t="s">
        <v>23</v>
      </c>
      <c r="D419" s="24" t="s">
        <v>23</v>
      </c>
      <c r="E419" s="24" t="s">
        <v>23</v>
      </c>
      <c r="F419" s="24" t="s">
        <v>23</v>
      </c>
      <c r="G419" s="24" t="s">
        <v>23</v>
      </c>
      <c r="H419" s="24">
        <v>16.3</v>
      </c>
      <c r="I419" s="24">
        <v>161.1</v>
      </c>
      <c r="J419" s="25">
        <v>0</v>
      </c>
      <c r="K419" s="25">
        <v>0</v>
      </c>
      <c r="L419" s="25">
        <v>0</v>
      </c>
      <c r="M419" s="18">
        <f t="shared" si="32"/>
        <v>205</v>
      </c>
      <c r="N419" s="19">
        <f t="shared" si="33"/>
        <v>45547</v>
      </c>
      <c r="O419" s="18" t="b">
        <f t="shared" si="31"/>
        <v>0</v>
      </c>
      <c r="P419" s="43" t="str">
        <f>IF(O419,swap_curve!$B$19,"")</f>
        <v/>
      </c>
      <c r="Q419" t="str">
        <f t="shared" si="34"/>
        <v/>
      </c>
      <c r="R419" t="str" cm="1">
        <f t="array" ref="R419">IF(O419,BSCall(swap_curve!$B$20,imvol!M419,imvol!P419,imvol!Q419,YEARFRAC(swap_curve!$C$1,imvol!N419)),"")</f>
        <v/>
      </c>
      <c r="S419" s="20" t="str">
        <f t="shared" si="30"/>
        <v/>
      </c>
    </row>
    <row r="420" spans="1:19" x14ac:dyDescent="0.3">
      <c r="A420" s="23" t="s">
        <v>268</v>
      </c>
      <c r="B420" s="23" t="s">
        <v>269</v>
      </c>
      <c r="C420" s="24" t="s">
        <v>23</v>
      </c>
      <c r="D420" s="24" t="s">
        <v>23</v>
      </c>
      <c r="E420" s="24" t="s">
        <v>23</v>
      </c>
      <c r="F420" s="24" t="s">
        <v>23</v>
      </c>
      <c r="G420" s="24" t="s">
        <v>23</v>
      </c>
      <c r="H420" s="24">
        <v>16.3</v>
      </c>
      <c r="I420" s="24">
        <v>156.15</v>
      </c>
      <c r="J420" s="25">
        <v>0</v>
      </c>
      <c r="K420" s="25">
        <v>0</v>
      </c>
      <c r="L420" s="25">
        <v>0</v>
      </c>
      <c r="M420" s="18">
        <f t="shared" si="32"/>
        <v>210</v>
      </c>
      <c r="N420" s="19">
        <f t="shared" si="33"/>
        <v>45547</v>
      </c>
      <c r="O420" s="18" t="b">
        <f t="shared" si="31"/>
        <v>0</v>
      </c>
      <c r="P420" s="43" t="str">
        <f>IF(O420,swap_curve!$B$19,"")</f>
        <v/>
      </c>
      <c r="Q420" t="str">
        <f t="shared" si="34"/>
        <v/>
      </c>
      <c r="R420" t="str" cm="1">
        <f t="array" ref="R420">IF(O420,BSCall(swap_curve!$B$20,imvol!M420,imvol!P420,imvol!Q420,YEARFRAC(swap_curve!$C$1,imvol!N420)),"")</f>
        <v/>
      </c>
      <c r="S420" s="20" t="str">
        <f t="shared" si="30"/>
        <v/>
      </c>
    </row>
    <row r="421" spans="1:19" x14ac:dyDescent="0.3">
      <c r="A421" s="23" t="s">
        <v>270</v>
      </c>
      <c r="B421" s="23" t="s">
        <v>271</v>
      </c>
      <c r="C421" s="24" t="s">
        <v>23</v>
      </c>
      <c r="D421" s="24" t="s">
        <v>23</v>
      </c>
      <c r="E421" s="24" t="s">
        <v>23</v>
      </c>
      <c r="F421" s="24" t="s">
        <v>23</v>
      </c>
      <c r="G421" s="24" t="s">
        <v>23</v>
      </c>
      <c r="H421" s="24">
        <v>16.3</v>
      </c>
      <c r="I421" s="24">
        <v>151.19999999999999</v>
      </c>
      <c r="J421" s="25">
        <v>0</v>
      </c>
      <c r="K421" s="25">
        <v>0</v>
      </c>
      <c r="L421" s="25">
        <v>0</v>
      </c>
      <c r="M421" s="18">
        <f t="shared" si="32"/>
        <v>215</v>
      </c>
      <c r="N421" s="19">
        <f t="shared" si="33"/>
        <v>45547</v>
      </c>
      <c r="O421" s="18" t="b">
        <f t="shared" si="31"/>
        <v>0</v>
      </c>
      <c r="P421" s="43" t="str">
        <f>IF(O421,swap_curve!$B$19,"")</f>
        <v/>
      </c>
      <c r="Q421" t="str">
        <f t="shared" si="34"/>
        <v/>
      </c>
      <c r="R421" t="str" cm="1">
        <f t="array" ref="R421">IF(O421,BSCall(swap_curve!$B$20,imvol!M421,imvol!P421,imvol!Q421,YEARFRAC(swap_curve!$C$1,imvol!N421)),"")</f>
        <v/>
      </c>
      <c r="S421" s="20" t="str">
        <f t="shared" si="30"/>
        <v/>
      </c>
    </row>
    <row r="422" spans="1:19" x14ac:dyDescent="0.3">
      <c r="A422" s="23" t="s">
        <v>272</v>
      </c>
      <c r="B422" s="23" t="s">
        <v>273</v>
      </c>
      <c r="C422" s="24" t="s">
        <v>23</v>
      </c>
      <c r="D422" s="24" t="s">
        <v>23</v>
      </c>
      <c r="E422" s="24" t="s">
        <v>23</v>
      </c>
      <c r="F422" s="24" t="s">
        <v>23</v>
      </c>
      <c r="G422" s="24" t="s">
        <v>23</v>
      </c>
      <c r="H422" s="24">
        <v>16.3</v>
      </c>
      <c r="I422" s="24">
        <v>146.30000000000001</v>
      </c>
      <c r="J422" s="25">
        <v>0</v>
      </c>
      <c r="K422" s="25">
        <v>0</v>
      </c>
      <c r="L422" s="25">
        <v>0</v>
      </c>
      <c r="M422" s="18">
        <f t="shared" si="32"/>
        <v>220</v>
      </c>
      <c r="N422" s="19">
        <f t="shared" si="33"/>
        <v>45547</v>
      </c>
      <c r="O422" s="18" t="b">
        <f t="shared" si="31"/>
        <v>0</v>
      </c>
      <c r="P422" s="43" t="str">
        <f>IF(O422,swap_curve!$B$19,"")</f>
        <v/>
      </c>
      <c r="Q422" t="str">
        <f t="shared" si="34"/>
        <v/>
      </c>
      <c r="R422" t="str" cm="1">
        <f t="array" ref="R422">IF(O422,BSCall(swap_curve!$B$20,imvol!M422,imvol!P422,imvol!Q422,YEARFRAC(swap_curve!$C$1,imvol!N422)),"")</f>
        <v/>
      </c>
      <c r="S422" s="20" t="str">
        <f t="shared" si="30"/>
        <v/>
      </c>
    </row>
    <row r="423" spans="1:19" x14ac:dyDescent="0.3">
      <c r="A423" s="23" t="s">
        <v>274</v>
      </c>
      <c r="B423" s="23" t="s">
        <v>275</v>
      </c>
      <c r="C423" s="24" t="s">
        <v>23</v>
      </c>
      <c r="D423" s="24" t="s">
        <v>23</v>
      </c>
      <c r="E423" s="24" t="s">
        <v>23</v>
      </c>
      <c r="F423" s="24" t="s">
        <v>23</v>
      </c>
      <c r="G423" s="24" t="s">
        <v>23</v>
      </c>
      <c r="H423" s="24">
        <v>16.3</v>
      </c>
      <c r="I423" s="24">
        <v>141.35</v>
      </c>
      <c r="J423" s="25">
        <v>0</v>
      </c>
      <c r="K423" s="25">
        <v>0</v>
      </c>
      <c r="L423" s="25">
        <v>0</v>
      </c>
      <c r="M423" s="18">
        <f t="shared" si="32"/>
        <v>225</v>
      </c>
      <c r="N423" s="19">
        <f t="shared" si="33"/>
        <v>45547</v>
      </c>
      <c r="O423" s="18" t="b">
        <f t="shared" si="31"/>
        <v>0</v>
      </c>
      <c r="P423" s="43" t="str">
        <f>IF(O423,swap_curve!$B$19,"")</f>
        <v/>
      </c>
      <c r="Q423" t="str">
        <f t="shared" si="34"/>
        <v/>
      </c>
      <c r="R423" t="str" cm="1">
        <f t="array" ref="R423">IF(O423,BSCall(swap_curve!$B$20,imvol!M423,imvol!P423,imvol!Q423,YEARFRAC(swap_curve!$C$1,imvol!N423)),"")</f>
        <v/>
      </c>
      <c r="S423" s="20" t="str">
        <f t="shared" si="30"/>
        <v/>
      </c>
    </row>
    <row r="424" spans="1:19" x14ac:dyDescent="0.3">
      <c r="A424" s="23" t="s">
        <v>276</v>
      </c>
      <c r="B424" s="23" t="s">
        <v>277</v>
      </c>
      <c r="C424" s="24" t="s">
        <v>23</v>
      </c>
      <c r="D424" s="24" t="s">
        <v>23</v>
      </c>
      <c r="E424" s="24" t="s">
        <v>23</v>
      </c>
      <c r="F424" s="24" t="s">
        <v>23</v>
      </c>
      <c r="G424" s="24" t="s">
        <v>23</v>
      </c>
      <c r="H424" s="24">
        <v>16.3</v>
      </c>
      <c r="I424" s="24">
        <v>136.4</v>
      </c>
      <c r="J424" s="25">
        <v>0</v>
      </c>
      <c r="K424" s="25">
        <v>0</v>
      </c>
      <c r="L424" s="25">
        <v>0</v>
      </c>
      <c r="M424" s="18">
        <f t="shared" si="32"/>
        <v>230</v>
      </c>
      <c r="N424" s="19">
        <f t="shared" si="33"/>
        <v>45547</v>
      </c>
      <c r="O424" s="18" t="b">
        <f t="shared" si="31"/>
        <v>0</v>
      </c>
      <c r="P424" s="43" t="str">
        <f>IF(O424,swap_curve!$B$19,"")</f>
        <v/>
      </c>
      <c r="Q424" t="str">
        <f t="shared" si="34"/>
        <v/>
      </c>
      <c r="R424" t="str" cm="1">
        <f t="array" ref="R424">IF(O424,BSCall(swap_curve!$B$20,imvol!M424,imvol!P424,imvol!Q424,YEARFRAC(swap_curve!$C$1,imvol!N424)),"")</f>
        <v/>
      </c>
      <c r="S424" s="20" t="str">
        <f t="shared" si="30"/>
        <v/>
      </c>
    </row>
    <row r="425" spans="1:19" x14ac:dyDescent="0.3">
      <c r="A425" s="23" t="s">
        <v>278</v>
      </c>
      <c r="B425" s="23" t="s">
        <v>279</v>
      </c>
      <c r="C425" s="24" t="s">
        <v>23</v>
      </c>
      <c r="D425" s="24" t="s">
        <v>23</v>
      </c>
      <c r="E425" s="24" t="s">
        <v>23</v>
      </c>
      <c r="F425" s="24" t="s">
        <v>23</v>
      </c>
      <c r="G425" s="24" t="s">
        <v>23</v>
      </c>
      <c r="H425" s="24">
        <v>16.3</v>
      </c>
      <c r="I425" s="24">
        <v>131.5</v>
      </c>
      <c r="J425" s="25">
        <v>0</v>
      </c>
      <c r="K425" s="25">
        <v>0</v>
      </c>
      <c r="L425" s="25">
        <v>0</v>
      </c>
      <c r="M425" s="18">
        <f t="shared" si="32"/>
        <v>235</v>
      </c>
      <c r="N425" s="19">
        <f t="shared" si="33"/>
        <v>45547</v>
      </c>
      <c r="O425" s="18" t="b">
        <f t="shared" si="31"/>
        <v>0</v>
      </c>
      <c r="P425" s="43" t="str">
        <f>IF(O425,swap_curve!$B$19,"")</f>
        <v/>
      </c>
      <c r="Q425" t="str">
        <f t="shared" si="34"/>
        <v/>
      </c>
      <c r="R425" t="str" cm="1">
        <f t="array" ref="R425">IF(O425,BSCall(swap_curve!$B$20,imvol!M425,imvol!P425,imvol!Q425,YEARFRAC(swap_curve!$C$1,imvol!N425)),"")</f>
        <v/>
      </c>
      <c r="S425" s="20" t="str">
        <f t="shared" si="30"/>
        <v/>
      </c>
    </row>
    <row r="426" spans="1:19" x14ac:dyDescent="0.3">
      <c r="A426" s="23" t="s">
        <v>280</v>
      </c>
      <c r="B426" s="23" t="s">
        <v>281</v>
      </c>
      <c r="C426" s="24" t="s">
        <v>23</v>
      </c>
      <c r="D426" s="24" t="s">
        <v>23</v>
      </c>
      <c r="E426" s="24" t="s">
        <v>23</v>
      </c>
      <c r="F426" s="24" t="s">
        <v>23</v>
      </c>
      <c r="G426" s="24" t="s">
        <v>23</v>
      </c>
      <c r="H426" s="24">
        <v>16.3</v>
      </c>
      <c r="I426" s="24">
        <v>126.55</v>
      </c>
      <c r="J426" s="25">
        <v>0</v>
      </c>
      <c r="K426" s="25">
        <v>0</v>
      </c>
      <c r="L426" s="25">
        <v>0</v>
      </c>
      <c r="M426" s="18">
        <f t="shared" si="32"/>
        <v>240</v>
      </c>
      <c r="N426" s="19">
        <f t="shared" si="33"/>
        <v>45547</v>
      </c>
      <c r="O426" s="18" t="b">
        <f t="shared" si="31"/>
        <v>0</v>
      </c>
      <c r="P426" s="43" t="str">
        <f>IF(O426,swap_curve!$B$19,"")</f>
        <v/>
      </c>
      <c r="Q426" t="str">
        <f t="shared" si="34"/>
        <v/>
      </c>
      <c r="R426" t="str" cm="1">
        <f t="array" ref="R426">IF(O426,BSCall(swap_curve!$B$20,imvol!M426,imvol!P426,imvol!Q426,YEARFRAC(swap_curve!$C$1,imvol!N426)),"")</f>
        <v/>
      </c>
      <c r="S426" s="20" t="str">
        <f t="shared" si="30"/>
        <v/>
      </c>
    </row>
    <row r="427" spans="1:19" x14ac:dyDescent="0.3">
      <c r="A427" s="23" t="s">
        <v>282</v>
      </c>
      <c r="B427" s="23" t="s">
        <v>283</v>
      </c>
      <c r="C427" s="24" t="s">
        <v>23</v>
      </c>
      <c r="D427" s="24" t="s">
        <v>23</v>
      </c>
      <c r="E427" s="24" t="s">
        <v>23</v>
      </c>
      <c r="F427" s="24" t="s">
        <v>23</v>
      </c>
      <c r="G427" s="24" t="s">
        <v>23</v>
      </c>
      <c r="H427" s="24">
        <v>16.3</v>
      </c>
      <c r="I427" s="24">
        <v>121.6</v>
      </c>
      <c r="J427" s="25">
        <v>0</v>
      </c>
      <c r="K427" s="25">
        <v>0</v>
      </c>
      <c r="L427" s="25">
        <v>0</v>
      </c>
      <c r="M427" s="18">
        <f t="shared" si="32"/>
        <v>245</v>
      </c>
      <c r="N427" s="19">
        <f t="shared" si="33"/>
        <v>45547</v>
      </c>
      <c r="O427" s="18" t="b">
        <f t="shared" si="31"/>
        <v>0</v>
      </c>
      <c r="P427" s="43" t="str">
        <f>IF(O427,swap_curve!$B$19,"")</f>
        <v/>
      </c>
      <c r="Q427" t="str">
        <f t="shared" si="34"/>
        <v/>
      </c>
      <c r="R427" t="str" cm="1">
        <f t="array" ref="R427">IF(O427,BSCall(swap_curve!$B$20,imvol!M427,imvol!P427,imvol!Q427,YEARFRAC(swap_curve!$C$1,imvol!N427)),"")</f>
        <v/>
      </c>
      <c r="S427" s="20" t="str">
        <f t="shared" si="30"/>
        <v/>
      </c>
    </row>
    <row r="428" spans="1:19" x14ac:dyDescent="0.3">
      <c r="A428" s="23" t="s">
        <v>284</v>
      </c>
      <c r="B428" s="23" t="s">
        <v>285</v>
      </c>
      <c r="C428" s="24" t="s">
        <v>23</v>
      </c>
      <c r="D428" s="24" t="s">
        <v>23</v>
      </c>
      <c r="E428" s="24" t="s">
        <v>23</v>
      </c>
      <c r="F428" s="24" t="s">
        <v>23</v>
      </c>
      <c r="G428" s="24" t="s">
        <v>23</v>
      </c>
      <c r="H428" s="24">
        <v>16.3</v>
      </c>
      <c r="I428" s="24">
        <v>116.7</v>
      </c>
      <c r="J428" s="25">
        <v>0</v>
      </c>
      <c r="K428" s="25">
        <v>0</v>
      </c>
      <c r="L428" s="25">
        <v>0</v>
      </c>
      <c r="M428" s="18">
        <f t="shared" si="32"/>
        <v>250</v>
      </c>
      <c r="N428" s="19">
        <f t="shared" si="33"/>
        <v>45547</v>
      </c>
      <c r="O428" s="18" t="b">
        <f t="shared" si="31"/>
        <v>0</v>
      </c>
      <c r="P428" s="43" t="str">
        <f>IF(O428,swap_curve!$B$19,"")</f>
        <v/>
      </c>
      <c r="Q428" t="str">
        <f t="shared" si="34"/>
        <v/>
      </c>
      <c r="R428" t="str" cm="1">
        <f t="array" ref="R428">IF(O428,BSCall(swap_curve!$B$20,imvol!M428,imvol!P428,imvol!Q428,YEARFRAC(swap_curve!$C$1,imvol!N428)),"")</f>
        <v/>
      </c>
      <c r="S428" s="20" t="str">
        <f t="shared" si="30"/>
        <v/>
      </c>
    </row>
    <row r="429" spans="1:19" x14ac:dyDescent="0.3">
      <c r="A429" s="23" t="s">
        <v>286</v>
      </c>
      <c r="B429" s="23" t="s">
        <v>287</v>
      </c>
      <c r="C429" s="24" t="s">
        <v>23</v>
      </c>
      <c r="D429" s="24" t="s">
        <v>23</v>
      </c>
      <c r="E429" s="24" t="s">
        <v>23</v>
      </c>
      <c r="F429" s="24" t="s">
        <v>23</v>
      </c>
      <c r="G429" s="24" t="s">
        <v>23</v>
      </c>
      <c r="H429" s="24">
        <v>16.3</v>
      </c>
      <c r="I429" s="24">
        <v>111.75</v>
      </c>
      <c r="J429" s="25">
        <v>0</v>
      </c>
      <c r="K429" s="25">
        <v>0</v>
      </c>
      <c r="L429" s="25">
        <v>0</v>
      </c>
      <c r="M429" s="18">
        <f t="shared" si="32"/>
        <v>255</v>
      </c>
      <c r="N429" s="19">
        <f t="shared" si="33"/>
        <v>45547</v>
      </c>
      <c r="O429" s="18" t="b">
        <f t="shared" si="31"/>
        <v>0</v>
      </c>
      <c r="P429" s="43" t="str">
        <f>IF(O429,swap_curve!$B$19,"")</f>
        <v/>
      </c>
      <c r="Q429" t="str">
        <f t="shared" si="34"/>
        <v/>
      </c>
      <c r="R429" t="str" cm="1">
        <f t="array" ref="R429">IF(O429,BSCall(swap_curve!$B$20,imvol!M429,imvol!P429,imvol!Q429,YEARFRAC(swap_curve!$C$1,imvol!N429)),"")</f>
        <v/>
      </c>
      <c r="S429" s="20" t="str">
        <f t="shared" si="30"/>
        <v/>
      </c>
    </row>
    <row r="430" spans="1:19" x14ac:dyDescent="0.3">
      <c r="A430" s="23" t="s">
        <v>288</v>
      </c>
      <c r="B430" s="23" t="s">
        <v>289</v>
      </c>
      <c r="C430" s="24" t="s">
        <v>23</v>
      </c>
      <c r="D430" s="24" t="s">
        <v>23</v>
      </c>
      <c r="E430" s="24" t="s">
        <v>23</v>
      </c>
      <c r="F430" s="24" t="s">
        <v>23</v>
      </c>
      <c r="G430" s="24" t="s">
        <v>23</v>
      </c>
      <c r="H430" s="24">
        <v>16.3</v>
      </c>
      <c r="I430" s="24">
        <v>106.8</v>
      </c>
      <c r="J430" s="25">
        <v>0</v>
      </c>
      <c r="K430" s="25">
        <v>0</v>
      </c>
      <c r="L430" s="25">
        <v>0</v>
      </c>
      <c r="M430" s="18">
        <f t="shared" si="32"/>
        <v>260</v>
      </c>
      <c r="N430" s="19">
        <f t="shared" si="33"/>
        <v>45547</v>
      </c>
      <c r="O430" s="18" t="b">
        <f t="shared" si="31"/>
        <v>0</v>
      </c>
      <c r="P430" s="43" t="str">
        <f>IF(O430,swap_curve!$B$19,"")</f>
        <v/>
      </c>
      <c r="Q430" t="str">
        <f t="shared" si="34"/>
        <v/>
      </c>
      <c r="R430" t="str" cm="1">
        <f t="array" ref="R430">IF(O430,BSCall(swap_curve!$B$20,imvol!M430,imvol!P430,imvol!Q430,YEARFRAC(swap_curve!$C$1,imvol!N430)),"")</f>
        <v/>
      </c>
      <c r="S430" s="20" t="str">
        <f t="shared" si="30"/>
        <v/>
      </c>
    </row>
    <row r="431" spans="1:19" x14ac:dyDescent="0.3">
      <c r="A431" s="23" t="s">
        <v>290</v>
      </c>
      <c r="B431" s="23" t="s">
        <v>291</v>
      </c>
      <c r="C431" s="24" t="s">
        <v>23</v>
      </c>
      <c r="D431" s="24" t="s">
        <v>23</v>
      </c>
      <c r="E431" s="24" t="s">
        <v>23</v>
      </c>
      <c r="F431" s="24" t="s">
        <v>23</v>
      </c>
      <c r="G431" s="24" t="s">
        <v>23</v>
      </c>
      <c r="H431" s="24">
        <v>16.3</v>
      </c>
      <c r="I431" s="24">
        <v>101.9</v>
      </c>
      <c r="J431" s="25">
        <v>0</v>
      </c>
      <c r="K431" s="25">
        <v>0</v>
      </c>
      <c r="L431" s="25">
        <v>0</v>
      </c>
      <c r="M431" s="18">
        <f t="shared" si="32"/>
        <v>265</v>
      </c>
      <c r="N431" s="19">
        <f t="shared" si="33"/>
        <v>45547</v>
      </c>
      <c r="O431" s="18" t="b">
        <f t="shared" si="31"/>
        <v>0</v>
      </c>
      <c r="P431" s="43" t="str">
        <f>IF(O431,swap_curve!$B$19,"")</f>
        <v/>
      </c>
      <c r="Q431" t="str">
        <f t="shared" si="34"/>
        <v/>
      </c>
      <c r="R431" t="str" cm="1">
        <f t="array" ref="R431">IF(O431,BSCall(swap_curve!$B$20,imvol!M431,imvol!P431,imvol!Q431,YEARFRAC(swap_curve!$C$1,imvol!N431)),"")</f>
        <v/>
      </c>
      <c r="S431" s="20" t="str">
        <f t="shared" si="30"/>
        <v/>
      </c>
    </row>
    <row r="432" spans="1:19" x14ac:dyDescent="0.3">
      <c r="A432" s="23" t="s">
        <v>292</v>
      </c>
      <c r="B432" s="23" t="s">
        <v>293</v>
      </c>
      <c r="C432" s="24" t="s">
        <v>23</v>
      </c>
      <c r="D432" s="24" t="s">
        <v>23</v>
      </c>
      <c r="E432" s="24" t="s">
        <v>23</v>
      </c>
      <c r="F432" s="24" t="s">
        <v>23</v>
      </c>
      <c r="G432" s="24" t="s">
        <v>23</v>
      </c>
      <c r="H432" s="24">
        <v>16.3</v>
      </c>
      <c r="I432" s="24">
        <v>96.95</v>
      </c>
      <c r="J432" s="25">
        <v>0</v>
      </c>
      <c r="K432" s="25">
        <v>0</v>
      </c>
      <c r="L432" s="25">
        <v>0</v>
      </c>
      <c r="M432" s="18">
        <f t="shared" si="32"/>
        <v>270</v>
      </c>
      <c r="N432" s="19">
        <f t="shared" si="33"/>
        <v>45547</v>
      </c>
      <c r="O432" s="18" t="b">
        <f t="shared" si="31"/>
        <v>0</v>
      </c>
      <c r="P432" s="43" t="str">
        <f>IF(O432,swap_curve!$B$19,"")</f>
        <v/>
      </c>
      <c r="Q432" t="str">
        <f t="shared" si="34"/>
        <v/>
      </c>
      <c r="R432" t="str" cm="1">
        <f t="array" ref="R432">IF(O432,BSCall(swap_curve!$B$20,imvol!M432,imvol!P432,imvol!Q432,YEARFRAC(swap_curve!$C$1,imvol!N432)),"")</f>
        <v/>
      </c>
      <c r="S432" s="20" t="str">
        <f t="shared" si="30"/>
        <v/>
      </c>
    </row>
    <row r="433" spans="1:19" x14ac:dyDescent="0.3">
      <c r="A433" s="23" t="s">
        <v>294</v>
      </c>
      <c r="B433" s="23" t="s">
        <v>295</v>
      </c>
      <c r="C433" s="24" t="s">
        <v>23</v>
      </c>
      <c r="D433" s="24" t="s">
        <v>23</v>
      </c>
      <c r="E433" s="24" t="s">
        <v>23</v>
      </c>
      <c r="F433" s="24" t="s">
        <v>23</v>
      </c>
      <c r="G433" s="24" t="s">
        <v>23</v>
      </c>
      <c r="H433" s="24">
        <v>16.3</v>
      </c>
      <c r="I433" s="24">
        <v>92.05</v>
      </c>
      <c r="J433" s="25">
        <v>0</v>
      </c>
      <c r="K433" s="25">
        <v>0</v>
      </c>
      <c r="L433" s="25">
        <v>0</v>
      </c>
      <c r="M433" s="18">
        <f t="shared" si="32"/>
        <v>275</v>
      </c>
      <c r="N433" s="19">
        <f t="shared" si="33"/>
        <v>45547</v>
      </c>
      <c r="O433" s="18" t="b">
        <f t="shared" si="31"/>
        <v>0</v>
      </c>
      <c r="P433" s="43" t="str">
        <f>IF(O433,swap_curve!$B$19,"")</f>
        <v/>
      </c>
      <c r="Q433" t="str">
        <f t="shared" si="34"/>
        <v/>
      </c>
      <c r="R433" t="str" cm="1">
        <f t="array" ref="R433">IF(O433,BSCall(swap_curve!$B$20,imvol!M433,imvol!P433,imvol!Q433,YEARFRAC(swap_curve!$C$1,imvol!N433)),"")</f>
        <v/>
      </c>
      <c r="S433" s="20" t="str">
        <f t="shared" si="30"/>
        <v/>
      </c>
    </row>
    <row r="434" spans="1:19" x14ac:dyDescent="0.3">
      <c r="A434" s="23" t="s">
        <v>296</v>
      </c>
      <c r="B434" s="23" t="s">
        <v>297</v>
      </c>
      <c r="C434" s="24" t="s">
        <v>23</v>
      </c>
      <c r="D434" s="24" t="s">
        <v>23</v>
      </c>
      <c r="E434" s="24" t="s">
        <v>23</v>
      </c>
      <c r="F434" s="24" t="s">
        <v>23</v>
      </c>
      <c r="G434" s="24" t="s">
        <v>23</v>
      </c>
      <c r="H434" s="24">
        <v>16.3</v>
      </c>
      <c r="I434" s="24">
        <v>87.1</v>
      </c>
      <c r="J434" s="25">
        <v>0</v>
      </c>
      <c r="K434" s="25">
        <v>0</v>
      </c>
      <c r="L434" s="25">
        <v>26</v>
      </c>
      <c r="M434" s="18">
        <f t="shared" si="32"/>
        <v>280</v>
      </c>
      <c r="N434" s="19">
        <f t="shared" si="33"/>
        <v>45547</v>
      </c>
      <c r="O434" s="18" t="b">
        <f t="shared" si="31"/>
        <v>0</v>
      </c>
      <c r="P434" s="43" t="str">
        <f>IF(O434,swap_curve!$B$19,"")</f>
        <v/>
      </c>
      <c r="Q434" t="str">
        <f t="shared" si="34"/>
        <v/>
      </c>
      <c r="R434" t="str" cm="1">
        <f t="array" ref="R434">IF(O434,BSCall(swap_curve!$B$20,imvol!M434,imvol!P434,imvol!Q434,YEARFRAC(swap_curve!$C$1,imvol!N434)),"")</f>
        <v/>
      </c>
      <c r="S434" s="20" t="str">
        <f t="shared" si="30"/>
        <v/>
      </c>
    </row>
    <row r="435" spans="1:19" x14ac:dyDescent="0.3">
      <c r="A435" s="23" t="s">
        <v>298</v>
      </c>
      <c r="B435" s="23" t="s">
        <v>299</v>
      </c>
      <c r="C435" s="24" t="s">
        <v>23</v>
      </c>
      <c r="D435" s="24" t="s">
        <v>23</v>
      </c>
      <c r="E435" s="24" t="s">
        <v>23</v>
      </c>
      <c r="F435" s="24" t="s">
        <v>23</v>
      </c>
      <c r="G435" s="24" t="s">
        <v>23</v>
      </c>
      <c r="H435" s="24">
        <v>16.3</v>
      </c>
      <c r="I435" s="24">
        <v>82.2</v>
      </c>
      <c r="J435" s="25">
        <v>0</v>
      </c>
      <c r="K435" s="25">
        <v>0</v>
      </c>
      <c r="L435" s="25">
        <v>30</v>
      </c>
      <c r="M435" s="18">
        <f t="shared" si="32"/>
        <v>285</v>
      </c>
      <c r="N435" s="19">
        <f t="shared" si="33"/>
        <v>45547</v>
      </c>
      <c r="O435" s="18" t="b">
        <f t="shared" si="31"/>
        <v>0</v>
      </c>
      <c r="P435" s="43" t="str">
        <f>IF(O435,swap_curve!$B$19,"")</f>
        <v/>
      </c>
      <c r="Q435" t="str">
        <f t="shared" si="34"/>
        <v/>
      </c>
      <c r="R435" t="str" cm="1">
        <f t="array" ref="R435">IF(O435,BSCall(swap_curve!$B$20,imvol!M435,imvol!P435,imvol!Q435,YEARFRAC(swap_curve!$C$1,imvol!N435)),"")</f>
        <v/>
      </c>
      <c r="S435" s="20" t="str">
        <f t="shared" si="30"/>
        <v/>
      </c>
    </row>
    <row r="436" spans="1:19" x14ac:dyDescent="0.3">
      <c r="A436" s="23" t="s">
        <v>300</v>
      </c>
      <c r="B436" s="23" t="s">
        <v>301</v>
      </c>
      <c r="C436" s="24" t="s">
        <v>23</v>
      </c>
      <c r="D436" s="24" t="s">
        <v>23</v>
      </c>
      <c r="E436" s="24" t="s">
        <v>23</v>
      </c>
      <c r="F436" s="24" t="s">
        <v>23</v>
      </c>
      <c r="G436" s="24" t="s">
        <v>23</v>
      </c>
      <c r="H436" s="24">
        <v>16.3</v>
      </c>
      <c r="I436" s="24">
        <v>77.3</v>
      </c>
      <c r="J436" s="25">
        <v>0</v>
      </c>
      <c r="K436" s="25">
        <v>0</v>
      </c>
      <c r="L436" s="25">
        <v>1</v>
      </c>
      <c r="M436" s="18">
        <f t="shared" si="32"/>
        <v>290</v>
      </c>
      <c r="N436" s="19">
        <f t="shared" si="33"/>
        <v>45547</v>
      </c>
      <c r="O436" s="18" t="b">
        <f t="shared" si="31"/>
        <v>0</v>
      </c>
      <c r="P436" s="43" t="str">
        <f>IF(O436,swap_curve!$B$19,"")</f>
        <v/>
      </c>
      <c r="Q436" t="str">
        <f t="shared" si="34"/>
        <v/>
      </c>
      <c r="R436" t="str" cm="1">
        <f t="array" ref="R436">IF(O436,BSCall(swap_curve!$B$20,imvol!M436,imvol!P436,imvol!Q436,YEARFRAC(swap_curve!$C$1,imvol!N436)),"")</f>
        <v/>
      </c>
      <c r="S436" s="20" t="str">
        <f t="shared" si="30"/>
        <v/>
      </c>
    </row>
    <row r="437" spans="1:19" x14ac:dyDescent="0.3">
      <c r="A437" s="23" t="s">
        <v>302</v>
      </c>
      <c r="B437" s="23" t="s">
        <v>303</v>
      </c>
      <c r="C437" s="24" t="s">
        <v>23</v>
      </c>
      <c r="D437" s="24" t="s">
        <v>23</v>
      </c>
      <c r="E437" s="24" t="s">
        <v>23</v>
      </c>
      <c r="F437" s="24" t="s">
        <v>23</v>
      </c>
      <c r="G437" s="24" t="s">
        <v>23</v>
      </c>
      <c r="H437" s="24">
        <v>16.3</v>
      </c>
      <c r="I437" s="24">
        <v>72.400000000000006</v>
      </c>
      <c r="J437" s="25">
        <v>0</v>
      </c>
      <c r="K437" s="25">
        <v>0</v>
      </c>
      <c r="L437" s="25">
        <v>1</v>
      </c>
      <c r="M437" s="18">
        <f t="shared" si="32"/>
        <v>295</v>
      </c>
      <c r="N437" s="19">
        <f t="shared" si="33"/>
        <v>45547</v>
      </c>
      <c r="O437" s="18" t="b">
        <f t="shared" si="31"/>
        <v>0</v>
      </c>
      <c r="P437" s="43" t="str">
        <f>IF(O437,swap_curve!$B$19,"")</f>
        <v/>
      </c>
      <c r="Q437" t="str">
        <f t="shared" si="34"/>
        <v/>
      </c>
      <c r="R437" t="str" cm="1">
        <f t="array" ref="R437">IF(O437,BSCall(swap_curve!$B$20,imvol!M437,imvol!P437,imvol!Q437,YEARFRAC(swap_curve!$C$1,imvol!N437)),"")</f>
        <v/>
      </c>
      <c r="S437" s="20" t="str">
        <f t="shared" si="30"/>
        <v/>
      </c>
    </row>
    <row r="438" spans="1:19" x14ac:dyDescent="0.3">
      <c r="A438" s="23" t="s">
        <v>304</v>
      </c>
      <c r="B438" s="23" t="s">
        <v>305</v>
      </c>
      <c r="C438" s="24" t="s">
        <v>23</v>
      </c>
      <c r="D438" s="24" t="s">
        <v>23</v>
      </c>
      <c r="E438" s="24" t="s">
        <v>23</v>
      </c>
      <c r="F438" s="24" t="s">
        <v>23</v>
      </c>
      <c r="G438" s="24" t="s">
        <v>23</v>
      </c>
      <c r="H438" s="24">
        <v>16.3</v>
      </c>
      <c r="I438" s="24">
        <v>67.55</v>
      </c>
      <c r="J438" s="25">
        <v>0</v>
      </c>
      <c r="K438" s="25">
        <v>0</v>
      </c>
      <c r="L438" s="25">
        <v>4</v>
      </c>
      <c r="M438" s="18">
        <f t="shared" si="32"/>
        <v>300</v>
      </c>
      <c r="N438" s="19">
        <f t="shared" si="33"/>
        <v>45547</v>
      </c>
      <c r="O438" s="18" t="b">
        <f t="shared" si="31"/>
        <v>0</v>
      </c>
      <c r="P438" s="43" t="str">
        <f>IF(O438,swap_curve!$B$19,"")</f>
        <v/>
      </c>
      <c r="Q438" t="str">
        <f t="shared" si="34"/>
        <v/>
      </c>
      <c r="R438" t="str" cm="1">
        <f t="array" ref="R438">IF(O438,BSCall(swap_curve!$B$20,imvol!M438,imvol!P438,imvol!Q438,YEARFRAC(swap_curve!$C$1,imvol!N438)),"")</f>
        <v/>
      </c>
      <c r="S438" s="20" t="str">
        <f t="shared" si="30"/>
        <v/>
      </c>
    </row>
    <row r="439" spans="1:19" x14ac:dyDescent="0.3">
      <c r="A439" s="23" t="s">
        <v>306</v>
      </c>
      <c r="B439" s="23" t="s">
        <v>307</v>
      </c>
      <c r="C439" s="24" t="s">
        <v>23</v>
      </c>
      <c r="D439" s="24" t="s">
        <v>23</v>
      </c>
      <c r="E439" s="24" t="s">
        <v>23</v>
      </c>
      <c r="F439" s="24" t="s">
        <v>23</v>
      </c>
      <c r="G439" s="24" t="s">
        <v>23</v>
      </c>
      <c r="H439" s="24">
        <v>16.3</v>
      </c>
      <c r="I439" s="24">
        <v>62.8</v>
      </c>
      <c r="J439" s="25">
        <v>0</v>
      </c>
      <c r="K439" s="25">
        <v>0</v>
      </c>
      <c r="L439" s="25">
        <v>0</v>
      </c>
      <c r="M439" s="18">
        <f t="shared" si="32"/>
        <v>305</v>
      </c>
      <c r="N439" s="19">
        <f t="shared" si="33"/>
        <v>45547</v>
      </c>
      <c r="O439" s="18" t="b">
        <f t="shared" si="31"/>
        <v>0</v>
      </c>
      <c r="P439" s="43" t="str">
        <f>IF(O439,swap_curve!$B$19,"")</f>
        <v/>
      </c>
      <c r="Q439" t="str">
        <f t="shared" si="34"/>
        <v/>
      </c>
      <c r="R439" t="str" cm="1">
        <f t="array" ref="R439">IF(O439,BSCall(swap_curve!$B$20,imvol!M439,imvol!P439,imvol!Q439,YEARFRAC(swap_curve!$C$1,imvol!N439)),"")</f>
        <v/>
      </c>
      <c r="S439" s="20" t="str">
        <f t="shared" si="30"/>
        <v/>
      </c>
    </row>
    <row r="440" spans="1:19" x14ac:dyDescent="0.3">
      <c r="A440" s="23" t="s">
        <v>308</v>
      </c>
      <c r="B440" s="23" t="s">
        <v>309</v>
      </c>
      <c r="C440" s="24" t="s">
        <v>23</v>
      </c>
      <c r="D440" s="24" t="s">
        <v>23</v>
      </c>
      <c r="E440" s="24" t="s">
        <v>23</v>
      </c>
      <c r="F440" s="24" t="s">
        <v>23</v>
      </c>
      <c r="G440" s="24" t="s">
        <v>23</v>
      </c>
      <c r="H440" s="24">
        <v>16.3</v>
      </c>
      <c r="I440" s="24">
        <v>58</v>
      </c>
      <c r="J440" s="25">
        <v>0</v>
      </c>
      <c r="K440" s="25">
        <v>0</v>
      </c>
      <c r="L440" s="25">
        <v>503</v>
      </c>
      <c r="M440" s="18">
        <f t="shared" si="32"/>
        <v>310</v>
      </c>
      <c r="N440" s="19">
        <f t="shared" si="33"/>
        <v>45547</v>
      </c>
      <c r="O440" s="18" t="b">
        <f t="shared" si="31"/>
        <v>0</v>
      </c>
      <c r="P440" s="43" t="str">
        <f>IF(O440,swap_curve!$B$19,"")</f>
        <v/>
      </c>
      <c r="Q440" t="str">
        <f t="shared" si="34"/>
        <v/>
      </c>
      <c r="R440" t="str" cm="1">
        <f t="array" ref="R440">IF(O440,BSCall(swap_curve!$B$20,imvol!M440,imvol!P440,imvol!Q440,YEARFRAC(swap_curve!$C$1,imvol!N440)),"")</f>
        <v/>
      </c>
      <c r="S440" s="20" t="str">
        <f t="shared" si="30"/>
        <v/>
      </c>
    </row>
    <row r="441" spans="1:19" x14ac:dyDescent="0.3">
      <c r="A441" s="23" t="s">
        <v>310</v>
      </c>
      <c r="B441" s="23" t="s">
        <v>311</v>
      </c>
      <c r="C441" s="24" t="s">
        <v>23</v>
      </c>
      <c r="D441" s="24" t="s">
        <v>23</v>
      </c>
      <c r="E441" s="24" t="s">
        <v>23</v>
      </c>
      <c r="F441" s="24" t="s">
        <v>23</v>
      </c>
      <c r="G441" s="24" t="s">
        <v>23</v>
      </c>
      <c r="H441" s="24">
        <v>16.3</v>
      </c>
      <c r="I441" s="24">
        <v>53.4</v>
      </c>
      <c r="J441" s="25">
        <v>0</v>
      </c>
      <c r="K441" s="25">
        <v>0</v>
      </c>
      <c r="L441" s="25">
        <v>0</v>
      </c>
      <c r="M441" s="18">
        <f t="shared" si="32"/>
        <v>315</v>
      </c>
      <c r="N441" s="19">
        <f t="shared" si="33"/>
        <v>45547</v>
      </c>
      <c r="O441" s="18" t="b">
        <f t="shared" si="31"/>
        <v>0</v>
      </c>
      <c r="P441" s="43" t="str">
        <f>IF(O441,swap_curve!$B$19,"")</f>
        <v/>
      </c>
      <c r="Q441" t="str">
        <f t="shared" si="34"/>
        <v/>
      </c>
      <c r="R441" t="str" cm="1">
        <f t="array" ref="R441">IF(O441,BSCall(swap_curve!$B$20,imvol!M441,imvol!P441,imvol!Q441,YEARFRAC(swap_curve!$C$1,imvol!N441)),"")</f>
        <v/>
      </c>
      <c r="S441" s="20" t="str">
        <f t="shared" si="30"/>
        <v/>
      </c>
    </row>
    <row r="442" spans="1:19" x14ac:dyDescent="0.3">
      <c r="A442" s="23" t="s">
        <v>312</v>
      </c>
      <c r="B442" s="23" t="s">
        <v>313</v>
      </c>
      <c r="C442" s="24" t="s">
        <v>23</v>
      </c>
      <c r="D442" s="24" t="s">
        <v>23</v>
      </c>
      <c r="E442" s="24" t="s">
        <v>23</v>
      </c>
      <c r="F442" s="24" t="s">
        <v>23</v>
      </c>
      <c r="G442" s="24" t="s">
        <v>23</v>
      </c>
      <c r="H442" s="24">
        <v>16.3</v>
      </c>
      <c r="I442" s="24">
        <v>48.8</v>
      </c>
      <c r="J442" s="25">
        <v>0</v>
      </c>
      <c r="K442" s="25">
        <v>0</v>
      </c>
      <c r="L442" s="25">
        <v>804</v>
      </c>
      <c r="M442" s="18">
        <f t="shared" si="32"/>
        <v>320</v>
      </c>
      <c r="N442" s="19">
        <f t="shared" si="33"/>
        <v>45547</v>
      </c>
      <c r="O442" s="18" t="b">
        <f t="shared" si="31"/>
        <v>0</v>
      </c>
      <c r="P442" s="43" t="str">
        <f>IF(O442,swap_curve!$B$19,"")</f>
        <v/>
      </c>
      <c r="Q442" t="str">
        <f t="shared" si="34"/>
        <v/>
      </c>
      <c r="R442" t="str" cm="1">
        <f t="array" ref="R442">IF(O442,BSCall(swap_curve!$B$20,imvol!M442,imvol!P442,imvol!Q442,YEARFRAC(swap_curve!$C$1,imvol!N442)),"")</f>
        <v/>
      </c>
      <c r="S442" s="20" t="str">
        <f t="shared" si="30"/>
        <v/>
      </c>
    </row>
    <row r="443" spans="1:19" x14ac:dyDescent="0.3">
      <c r="A443" s="23" t="s">
        <v>314</v>
      </c>
      <c r="B443" s="23" t="s">
        <v>315</v>
      </c>
      <c r="C443" s="24" t="s">
        <v>23</v>
      </c>
      <c r="D443" s="24" t="s">
        <v>23</v>
      </c>
      <c r="E443" s="24" t="s">
        <v>23</v>
      </c>
      <c r="F443" s="24" t="s">
        <v>23</v>
      </c>
      <c r="G443" s="24" t="s">
        <v>23</v>
      </c>
      <c r="H443" s="24">
        <v>16.3</v>
      </c>
      <c r="I443" s="24">
        <v>44.4</v>
      </c>
      <c r="J443" s="25">
        <v>0</v>
      </c>
      <c r="K443" s="25">
        <v>0</v>
      </c>
      <c r="L443" s="25">
        <v>1</v>
      </c>
      <c r="M443" s="18">
        <f t="shared" si="32"/>
        <v>325</v>
      </c>
      <c r="N443" s="19">
        <f t="shared" si="33"/>
        <v>45547</v>
      </c>
      <c r="O443" s="18" t="b">
        <f t="shared" si="31"/>
        <v>0</v>
      </c>
      <c r="P443" s="43" t="str">
        <f>IF(O443,swap_curve!$B$19,"")</f>
        <v/>
      </c>
      <c r="Q443" t="str">
        <f t="shared" si="34"/>
        <v/>
      </c>
      <c r="R443" t="str" cm="1">
        <f t="array" ref="R443">IF(O443,BSCall(swap_curve!$B$20,imvol!M443,imvol!P443,imvol!Q443,YEARFRAC(swap_curve!$C$1,imvol!N443)),"")</f>
        <v/>
      </c>
      <c r="S443" s="20" t="str">
        <f t="shared" si="30"/>
        <v/>
      </c>
    </row>
    <row r="444" spans="1:19" x14ac:dyDescent="0.3">
      <c r="A444" s="23" t="s">
        <v>316</v>
      </c>
      <c r="B444" s="23" t="s">
        <v>317</v>
      </c>
      <c r="C444" s="24" t="s">
        <v>23</v>
      </c>
      <c r="D444" s="24" t="s">
        <v>23</v>
      </c>
      <c r="E444" s="24" t="s">
        <v>23</v>
      </c>
      <c r="F444" s="24" t="s">
        <v>23</v>
      </c>
      <c r="G444" s="24" t="s">
        <v>23</v>
      </c>
      <c r="H444" s="24">
        <v>16.3</v>
      </c>
      <c r="I444" s="24">
        <v>40.049999999999997</v>
      </c>
      <c r="J444" s="25">
        <v>0</v>
      </c>
      <c r="K444" s="25">
        <v>0</v>
      </c>
      <c r="L444" s="25">
        <v>2202</v>
      </c>
      <c r="M444" s="18">
        <f t="shared" si="32"/>
        <v>330</v>
      </c>
      <c r="N444" s="19">
        <f t="shared" si="33"/>
        <v>45547</v>
      </c>
      <c r="O444" s="18" t="b">
        <f t="shared" si="31"/>
        <v>0</v>
      </c>
      <c r="P444" s="43" t="str">
        <f>IF(O444,swap_curve!$B$19,"")</f>
        <v/>
      </c>
      <c r="Q444" t="str">
        <f t="shared" si="34"/>
        <v/>
      </c>
      <c r="R444" t="str" cm="1">
        <f t="array" ref="R444">IF(O444,BSCall(swap_curve!$B$20,imvol!M444,imvol!P444,imvol!Q444,YEARFRAC(swap_curve!$C$1,imvol!N444)),"")</f>
        <v/>
      </c>
      <c r="S444" s="20" t="str">
        <f t="shared" si="30"/>
        <v/>
      </c>
    </row>
    <row r="445" spans="1:19" x14ac:dyDescent="0.3">
      <c r="A445" s="23" t="s">
        <v>318</v>
      </c>
      <c r="B445" s="23" t="s">
        <v>319</v>
      </c>
      <c r="C445" s="24" t="s">
        <v>23</v>
      </c>
      <c r="D445" s="24" t="s">
        <v>23</v>
      </c>
      <c r="E445" s="24" t="s">
        <v>23</v>
      </c>
      <c r="F445" s="24" t="s">
        <v>23</v>
      </c>
      <c r="G445" s="24" t="s">
        <v>23</v>
      </c>
      <c r="H445" s="24">
        <v>16.3</v>
      </c>
      <c r="I445" s="24">
        <v>36</v>
      </c>
      <c r="J445" s="25">
        <v>0</v>
      </c>
      <c r="K445" s="25">
        <v>0</v>
      </c>
      <c r="L445" s="25">
        <v>652</v>
      </c>
      <c r="M445" s="18">
        <f t="shared" si="32"/>
        <v>335</v>
      </c>
      <c r="N445" s="19">
        <f t="shared" si="33"/>
        <v>45547</v>
      </c>
      <c r="O445" s="18" t="b">
        <f t="shared" si="31"/>
        <v>0</v>
      </c>
      <c r="P445" s="43" t="str">
        <f>IF(O445,swap_curve!$B$19,"")</f>
        <v/>
      </c>
      <c r="Q445" t="str">
        <f t="shared" si="34"/>
        <v/>
      </c>
      <c r="R445" t="str" cm="1">
        <f t="array" ref="R445">IF(O445,BSCall(swap_curve!$B$20,imvol!M445,imvol!P445,imvol!Q445,YEARFRAC(swap_curve!$C$1,imvol!N445)),"")</f>
        <v/>
      </c>
      <c r="S445" s="20" t="str">
        <f t="shared" si="30"/>
        <v/>
      </c>
    </row>
    <row r="446" spans="1:19" x14ac:dyDescent="0.3">
      <c r="A446" s="23" t="s">
        <v>320</v>
      </c>
      <c r="B446" s="23" t="s">
        <v>321</v>
      </c>
      <c r="C446" s="24" t="s">
        <v>23</v>
      </c>
      <c r="D446" s="24" t="s">
        <v>23</v>
      </c>
      <c r="E446" s="24" t="s">
        <v>23</v>
      </c>
      <c r="F446" s="24" t="s">
        <v>23</v>
      </c>
      <c r="G446" s="24" t="s">
        <v>23</v>
      </c>
      <c r="H446" s="24">
        <v>16.3</v>
      </c>
      <c r="I446" s="24">
        <v>32.049999999999997</v>
      </c>
      <c r="J446" s="25">
        <v>0</v>
      </c>
      <c r="K446" s="25">
        <v>0</v>
      </c>
      <c r="L446" s="25">
        <v>2105</v>
      </c>
      <c r="M446" s="18">
        <f t="shared" si="32"/>
        <v>340</v>
      </c>
      <c r="N446" s="19">
        <f t="shared" si="33"/>
        <v>45547</v>
      </c>
      <c r="O446" s="18" t="b">
        <f t="shared" si="31"/>
        <v>0</v>
      </c>
      <c r="P446" s="43" t="str">
        <f>IF(O446,swap_curve!$B$19,"")</f>
        <v/>
      </c>
      <c r="Q446" t="str">
        <f t="shared" si="34"/>
        <v/>
      </c>
      <c r="R446" t="str" cm="1">
        <f t="array" ref="R446">IF(O446,BSCall(swap_curve!$B$20,imvol!M446,imvol!P446,imvol!Q446,YEARFRAC(swap_curve!$C$1,imvol!N446)),"")</f>
        <v/>
      </c>
      <c r="S446" s="20" t="str">
        <f t="shared" si="30"/>
        <v/>
      </c>
    </row>
    <row r="447" spans="1:19" x14ac:dyDescent="0.3">
      <c r="A447" s="23" t="s">
        <v>322</v>
      </c>
      <c r="B447" s="23" t="s">
        <v>323</v>
      </c>
      <c r="C447" s="24" t="s">
        <v>23</v>
      </c>
      <c r="D447" s="24" t="s">
        <v>23</v>
      </c>
      <c r="E447" s="24" t="s">
        <v>23</v>
      </c>
      <c r="F447" s="24" t="s">
        <v>23</v>
      </c>
      <c r="G447" s="24" t="s">
        <v>23</v>
      </c>
      <c r="H447" s="24">
        <v>16.3</v>
      </c>
      <c r="I447" s="24">
        <v>28.35</v>
      </c>
      <c r="J447" s="25">
        <v>0</v>
      </c>
      <c r="K447" s="25">
        <v>0</v>
      </c>
      <c r="L447" s="25">
        <v>9</v>
      </c>
      <c r="M447" s="18">
        <f t="shared" si="32"/>
        <v>345</v>
      </c>
      <c r="N447" s="19">
        <f t="shared" si="33"/>
        <v>45547</v>
      </c>
      <c r="O447" s="18" t="b">
        <f t="shared" si="31"/>
        <v>0</v>
      </c>
      <c r="P447" s="43" t="str">
        <f>IF(O447,swap_curve!$B$19,"")</f>
        <v/>
      </c>
      <c r="Q447" t="str">
        <f t="shared" si="34"/>
        <v/>
      </c>
      <c r="R447" t="str" cm="1">
        <f t="array" ref="R447">IF(O447,BSCall(swap_curve!$B$20,imvol!M447,imvol!P447,imvol!Q447,YEARFRAC(swap_curve!$C$1,imvol!N447)),"")</f>
        <v/>
      </c>
      <c r="S447" s="20" t="str">
        <f t="shared" ref="S447:S510" si="35">IF(O447,R447-C447,"")</f>
        <v/>
      </c>
    </row>
    <row r="448" spans="1:19" x14ac:dyDescent="0.3">
      <c r="A448" s="23" t="s">
        <v>324</v>
      </c>
      <c r="B448" s="23" t="s">
        <v>325</v>
      </c>
      <c r="C448" s="24" t="s">
        <v>23</v>
      </c>
      <c r="D448" s="24" t="s">
        <v>23</v>
      </c>
      <c r="E448" s="24" t="s">
        <v>23</v>
      </c>
      <c r="F448" s="24" t="s">
        <v>23</v>
      </c>
      <c r="G448" s="24" t="s">
        <v>23</v>
      </c>
      <c r="H448" s="24">
        <v>16.3</v>
      </c>
      <c r="I448" s="24">
        <v>24.85</v>
      </c>
      <c r="J448" s="25">
        <v>0</v>
      </c>
      <c r="K448" s="25">
        <v>0</v>
      </c>
      <c r="L448" s="25">
        <v>1811</v>
      </c>
      <c r="M448" s="18">
        <f t="shared" si="32"/>
        <v>350</v>
      </c>
      <c r="N448" s="19">
        <f t="shared" si="33"/>
        <v>45547</v>
      </c>
      <c r="O448" s="18" t="b">
        <f t="shared" si="31"/>
        <v>0</v>
      </c>
      <c r="P448" s="43" t="str">
        <f>IF(O448,swap_curve!$B$19,"")</f>
        <v/>
      </c>
      <c r="Q448" t="str">
        <f t="shared" si="34"/>
        <v/>
      </c>
      <c r="R448" t="str" cm="1">
        <f t="array" ref="R448">IF(O448,BSCall(swap_curve!$B$20,imvol!M448,imvol!P448,imvol!Q448,YEARFRAC(swap_curve!$C$1,imvol!N448)),"")</f>
        <v/>
      </c>
      <c r="S448" s="20" t="str">
        <f t="shared" si="35"/>
        <v/>
      </c>
    </row>
    <row r="449" spans="1:19" x14ac:dyDescent="0.3">
      <c r="A449" s="23" t="s">
        <v>326</v>
      </c>
      <c r="B449" s="23" t="s">
        <v>327</v>
      </c>
      <c r="C449" s="24" t="s">
        <v>23</v>
      </c>
      <c r="D449" s="24" t="s">
        <v>23</v>
      </c>
      <c r="E449" s="24" t="s">
        <v>23</v>
      </c>
      <c r="F449" s="24" t="s">
        <v>23</v>
      </c>
      <c r="G449" s="24" t="s">
        <v>23</v>
      </c>
      <c r="H449" s="24">
        <v>16.3</v>
      </c>
      <c r="I449" s="24">
        <v>21.7</v>
      </c>
      <c r="J449" s="25">
        <v>0</v>
      </c>
      <c r="K449" s="25">
        <v>0</v>
      </c>
      <c r="L449" s="25">
        <v>1623</v>
      </c>
      <c r="M449" s="18">
        <f t="shared" si="32"/>
        <v>355</v>
      </c>
      <c r="N449" s="19">
        <f t="shared" si="33"/>
        <v>45547</v>
      </c>
      <c r="O449" s="18" t="b">
        <f t="shared" si="31"/>
        <v>0</v>
      </c>
      <c r="P449" s="43" t="str">
        <f>IF(O449,swap_curve!$B$19,"")</f>
        <v/>
      </c>
      <c r="Q449" t="str">
        <f t="shared" si="34"/>
        <v/>
      </c>
      <c r="R449" t="str" cm="1">
        <f t="array" ref="R449">IF(O449,BSCall(swap_curve!$B$20,imvol!M449,imvol!P449,imvol!Q449,YEARFRAC(swap_curve!$C$1,imvol!N449)),"")</f>
        <v/>
      </c>
      <c r="S449" s="20" t="str">
        <f t="shared" si="35"/>
        <v/>
      </c>
    </row>
    <row r="450" spans="1:19" x14ac:dyDescent="0.3">
      <c r="A450" s="23" t="s">
        <v>328</v>
      </c>
      <c r="B450" s="23" t="s">
        <v>329</v>
      </c>
      <c r="C450" s="24" t="s">
        <v>23</v>
      </c>
      <c r="D450" s="24" t="s">
        <v>23</v>
      </c>
      <c r="E450" s="24" t="s">
        <v>23</v>
      </c>
      <c r="F450" s="24" t="s">
        <v>23</v>
      </c>
      <c r="G450" s="24" t="s">
        <v>23</v>
      </c>
      <c r="H450" s="24">
        <v>16.3</v>
      </c>
      <c r="I450" s="24">
        <v>18.7</v>
      </c>
      <c r="J450" s="25">
        <v>0</v>
      </c>
      <c r="K450" s="25">
        <v>0</v>
      </c>
      <c r="L450" s="25">
        <v>1566</v>
      </c>
      <c r="M450" s="18">
        <f t="shared" si="32"/>
        <v>360</v>
      </c>
      <c r="N450" s="19">
        <f t="shared" si="33"/>
        <v>45547</v>
      </c>
      <c r="O450" s="18" t="b">
        <f t="shared" ref="O450:O513" si="36">IF(J450&gt;100, TRUE,FALSE)</f>
        <v>0</v>
      </c>
      <c r="P450" s="43" t="str">
        <f>IF(O450,swap_curve!$B$19,"")</f>
        <v/>
      </c>
      <c r="Q450" t="str">
        <f t="shared" si="34"/>
        <v/>
      </c>
      <c r="R450" t="str" cm="1">
        <f t="array" ref="R450">IF(O450,BSCall(swap_curve!$B$20,imvol!M450,imvol!P450,imvol!Q450,YEARFRAC(swap_curve!$C$1,imvol!N450)),"")</f>
        <v/>
      </c>
      <c r="S450" s="20" t="str">
        <f t="shared" si="35"/>
        <v/>
      </c>
    </row>
    <row r="451" spans="1:19" x14ac:dyDescent="0.3">
      <c r="A451" s="23" t="s">
        <v>330</v>
      </c>
      <c r="B451" s="23" t="s">
        <v>331</v>
      </c>
      <c r="C451" s="24" t="s">
        <v>23</v>
      </c>
      <c r="D451" s="24" t="s">
        <v>23</v>
      </c>
      <c r="E451" s="24" t="s">
        <v>23</v>
      </c>
      <c r="F451" s="24" t="s">
        <v>23</v>
      </c>
      <c r="G451" s="24" t="s">
        <v>23</v>
      </c>
      <c r="H451" s="24">
        <v>16.3</v>
      </c>
      <c r="I451" s="24">
        <v>16.05</v>
      </c>
      <c r="J451" s="25">
        <v>0</v>
      </c>
      <c r="K451" s="25">
        <v>0</v>
      </c>
      <c r="L451" s="25">
        <v>4602</v>
      </c>
      <c r="M451" s="18">
        <f t="shared" ref="M451:M514" si="37">VALUE(RIGHT(B451, 6))</f>
        <v>365</v>
      </c>
      <c r="N451" s="19">
        <f t="shared" ref="N451:N514" si="38">DATE(VALUE(LEFT(MID(B451,10,6),4)),VALUE(RIGHT(MID(B451,10,6),2)),1)+MOD(5-WEEKDAY(DATE(VALUE(LEFT(MID(B451,10,6),4)),VALUE(RIGHT(MID(B451,10,6),2)),1)),7)+7</f>
        <v>45547</v>
      </c>
      <c r="O451" s="18" t="b">
        <f t="shared" si="36"/>
        <v>0</v>
      </c>
      <c r="P451" s="43" t="str">
        <f>IF(O451,swap_curve!$B$19,"")</f>
        <v/>
      </c>
      <c r="Q451" t="str">
        <f t="shared" ref="Q451:Q514" si="39">IF(O451,H451%,"")</f>
        <v/>
      </c>
      <c r="R451" t="str" cm="1">
        <f t="array" ref="R451">IF(O451,BSCall(swap_curve!$B$20,imvol!M451,imvol!P451,imvol!Q451,YEARFRAC(swap_curve!$C$1,imvol!N451)),"")</f>
        <v/>
      </c>
      <c r="S451" s="20" t="str">
        <f t="shared" si="35"/>
        <v/>
      </c>
    </row>
    <row r="452" spans="1:19" x14ac:dyDescent="0.3">
      <c r="A452" s="23" t="s">
        <v>332</v>
      </c>
      <c r="B452" s="23" t="s">
        <v>333</v>
      </c>
      <c r="C452" s="24" t="s">
        <v>23</v>
      </c>
      <c r="D452" s="24" t="s">
        <v>23</v>
      </c>
      <c r="E452" s="24" t="s">
        <v>23</v>
      </c>
      <c r="F452" s="24" t="s">
        <v>23</v>
      </c>
      <c r="G452" s="24" t="s">
        <v>23</v>
      </c>
      <c r="H452" s="24">
        <v>16.3</v>
      </c>
      <c r="I452" s="24">
        <v>13.6</v>
      </c>
      <c r="J452" s="25">
        <v>0</v>
      </c>
      <c r="K452" s="25">
        <v>0</v>
      </c>
      <c r="L452" s="25">
        <v>5025</v>
      </c>
      <c r="M452" s="18">
        <f t="shared" si="37"/>
        <v>370</v>
      </c>
      <c r="N452" s="19">
        <f t="shared" si="38"/>
        <v>45547</v>
      </c>
      <c r="O452" s="18" t="b">
        <f t="shared" si="36"/>
        <v>0</v>
      </c>
      <c r="P452" s="43" t="str">
        <f>IF(O452,swap_curve!$B$19,"")</f>
        <v/>
      </c>
      <c r="Q452" t="str">
        <f t="shared" si="39"/>
        <v/>
      </c>
      <c r="R452" t="str" cm="1">
        <f t="array" ref="R452">IF(O452,BSCall(swap_curve!$B$20,imvol!M452,imvol!P452,imvol!Q452,YEARFRAC(swap_curve!$C$1,imvol!N452)),"")</f>
        <v/>
      </c>
      <c r="S452" s="20" t="str">
        <f t="shared" si="35"/>
        <v/>
      </c>
    </row>
    <row r="453" spans="1:19" x14ac:dyDescent="0.3">
      <c r="A453" s="23" t="s">
        <v>334</v>
      </c>
      <c r="B453" s="23" t="s">
        <v>335</v>
      </c>
      <c r="C453" s="24" t="s">
        <v>23</v>
      </c>
      <c r="D453" s="24" t="s">
        <v>23</v>
      </c>
      <c r="E453" s="24" t="s">
        <v>23</v>
      </c>
      <c r="F453" s="24" t="s">
        <v>23</v>
      </c>
      <c r="G453" s="24" t="s">
        <v>23</v>
      </c>
      <c r="H453" s="24">
        <v>16.3</v>
      </c>
      <c r="I453" s="24">
        <v>11.5</v>
      </c>
      <c r="J453" s="25">
        <v>0</v>
      </c>
      <c r="K453" s="25">
        <v>0</v>
      </c>
      <c r="L453" s="25">
        <v>1012</v>
      </c>
      <c r="M453" s="18">
        <f t="shared" si="37"/>
        <v>375</v>
      </c>
      <c r="N453" s="19">
        <f t="shared" si="38"/>
        <v>45547</v>
      </c>
      <c r="O453" s="18" t="b">
        <f t="shared" si="36"/>
        <v>0</v>
      </c>
      <c r="P453" s="43" t="str">
        <f>IF(O453,swap_curve!$B$19,"")</f>
        <v/>
      </c>
      <c r="Q453" t="str">
        <f t="shared" si="39"/>
        <v/>
      </c>
      <c r="R453" t="str" cm="1">
        <f t="array" ref="R453">IF(O453,BSCall(swap_curve!$B$20,imvol!M453,imvol!P453,imvol!Q453,YEARFRAC(swap_curve!$C$1,imvol!N453)),"")</f>
        <v/>
      </c>
      <c r="S453" s="20" t="str">
        <f t="shared" si="35"/>
        <v/>
      </c>
    </row>
    <row r="454" spans="1:19" x14ac:dyDescent="0.3">
      <c r="A454" s="23" t="s">
        <v>336</v>
      </c>
      <c r="B454" s="23" t="s">
        <v>337</v>
      </c>
      <c r="C454" s="24">
        <v>9.15</v>
      </c>
      <c r="D454" s="24">
        <v>0.93</v>
      </c>
      <c r="E454" s="24">
        <v>9.4</v>
      </c>
      <c r="F454" s="24">
        <v>9.4</v>
      </c>
      <c r="G454" s="24">
        <v>9.15</v>
      </c>
      <c r="H454" s="24">
        <v>16.3</v>
      </c>
      <c r="I454" s="24">
        <v>9.15</v>
      </c>
      <c r="J454" s="25">
        <v>1504</v>
      </c>
      <c r="K454" s="25">
        <v>3617</v>
      </c>
      <c r="L454" s="25">
        <v>6552</v>
      </c>
      <c r="M454" s="18">
        <f t="shared" si="37"/>
        <v>380</v>
      </c>
      <c r="N454" s="19">
        <f t="shared" si="38"/>
        <v>45547</v>
      </c>
      <c r="O454" s="18" t="b">
        <f t="shared" si="36"/>
        <v>1</v>
      </c>
      <c r="P454" s="43">
        <f>IF(O454,swap_curve!$B$19,"")</f>
        <v>3.5699999999999996E-2</v>
      </c>
      <c r="Q454">
        <v>0.15498542376874394</v>
      </c>
      <c r="R454" cm="1">
        <f t="array" ref="R454">IF(O454,BSCall(swap_curve!$B$20,imvol!M454,imvol!P454,imvol!Q454,YEARFRAC(swap_curve!$C$1,imvol!N454)),"")</f>
        <v>8.9451157721678385</v>
      </c>
      <c r="S454" s="20">
        <f t="shared" si="35"/>
        <v>-0.20488422783216187</v>
      </c>
    </row>
    <row r="455" spans="1:19" x14ac:dyDescent="0.3">
      <c r="A455" s="23" t="s">
        <v>338</v>
      </c>
      <c r="B455" s="23" t="s">
        <v>339</v>
      </c>
      <c r="C455" s="24">
        <v>7.95</v>
      </c>
      <c r="D455" s="24">
        <v>1.28</v>
      </c>
      <c r="E455" s="24">
        <v>7.95</v>
      </c>
      <c r="F455" s="24">
        <v>7.95</v>
      </c>
      <c r="G455" s="24">
        <v>7.95</v>
      </c>
      <c r="H455" s="24">
        <v>16.2</v>
      </c>
      <c r="I455" s="24">
        <v>7.95</v>
      </c>
      <c r="J455" s="25">
        <v>201</v>
      </c>
      <c r="K455" s="25">
        <v>362</v>
      </c>
      <c r="L455" s="25">
        <v>2308</v>
      </c>
      <c r="M455" s="18">
        <f t="shared" si="37"/>
        <v>385</v>
      </c>
      <c r="N455" s="19">
        <f t="shared" si="38"/>
        <v>45547</v>
      </c>
      <c r="O455" s="18" t="b">
        <f t="shared" si="36"/>
        <v>1</v>
      </c>
      <c r="P455" s="43">
        <f>IF(O455,swap_curve!$B$19,"")</f>
        <v>3.5699999999999996E-2</v>
      </c>
      <c r="Q455">
        <v>0.16109637406386831</v>
      </c>
      <c r="R455" cm="1">
        <f t="array" ref="R455">IF(O455,BSCall(swap_curve!$B$20,imvol!M455,imvol!P455,imvol!Q455,YEARFRAC(swap_curve!$C$1,imvol!N455)),"")</f>
        <v>7.7691228203318161</v>
      </c>
      <c r="S455" s="20">
        <f t="shared" si="35"/>
        <v>-0.18087717966818406</v>
      </c>
    </row>
    <row r="456" spans="1:19" x14ac:dyDescent="0.3">
      <c r="A456" s="23" t="s">
        <v>340</v>
      </c>
      <c r="B456" s="23" t="s">
        <v>341</v>
      </c>
      <c r="C456" s="24" t="s">
        <v>23</v>
      </c>
      <c r="D456" s="24" t="s">
        <v>23</v>
      </c>
      <c r="E456" s="24" t="s">
        <v>23</v>
      </c>
      <c r="F456" s="24" t="s">
        <v>23</v>
      </c>
      <c r="G456" s="24" t="s">
        <v>23</v>
      </c>
      <c r="H456" s="24">
        <v>16.2</v>
      </c>
      <c r="I456" s="24">
        <v>6.36</v>
      </c>
      <c r="J456" s="25">
        <v>0</v>
      </c>
      <c r="K456" s="25">
        <v>0</v>
      </c>
      <c r="L456" s="25">
        <v>2325</v>
      </c>
      <c r="M456" s="18">
        <f t="shared" si="37"/>
        <v>390</v>
      </c>
      <c r="N456" s="19">
        <f t="shared" si="38"/>
        <v>45547</v>
      </c>
      <c r="O456" s="18" t="b">
        <f t="shared" si="36"/>
        <v>0</v>
      </c>
      <c r="P456" s="43" t="str">
        <f>IF(O456,swap_curve!$B$19,"")</f>
        <v/>
      </c>
      <c r="Q456" t="str">
        <f t="shared" si="39"/>
        <v/>
      </c>
      <c r="R456" t="str" cm="1">
        <f t="array" ref="R456">IF(O456,BSCall(swap_curve!$B$20,imvol!M456,imvol!P456,imvol!Q456,YEARFRAC(swap_curve!$C$1,imvol!N456)),"")</f>
        <v/>
      </c>
      <c r="S456" s="20" t="str">
        <f t="shared" si="35"/>
        <v/>
      </c>
    </row>
    <row r="457" spans="1:19" x14ac:dyDescent="0.3">
      <c r="A457" s="23" t="s">
        <v>342</v>
      </c>
      <c r="B457" s="23" t="s">
        <v>343</v>
      </c>
      <c r="C457" s="24" t="s">
        <v>23</v>
      </c>
      <c r="D457" s="24" t="s">
        <v>23</v>
      </c>
      <c r="E457" s="24" t="s">
        <v>23</v>
      </c>
      <c r="F457" s="24" t="s">
        <v>23</v>
      </c>
      <c r="G457" s="24" t="s">
        <v>23</v>
      </c>
      <c r="H457" s="24">
        <v>16.2</v>
      </c>
      <c r="I457" s="24">
        <v>5.27</v>
      </c>
      <c r="J457" s="25">
        <v>0</v>
      </c>
      <c r="K457" s="25">
        <v>0</v>
      </c>
      <c r="L457" s="25">
        <v>12</v>
      </c>
      <c r="M457" s="18">
        <f t="shared" si="37"/>
        <v>395</v>
      </c>
      <c r="N457" s="19">
        <f t="shared" si="38"/>
        <v>45547</v>
      </c>
      <c r="O457" s="18" t="b">
        <f t="shared" si="36"/>
        <v>0</v>
      </c>
      <c r="P457" s="43" t="str">
        <f>IF(O457,swap_curve!$B$19,"")</f>
        <v/>
      </c>
      <c r="Q457" t="str">
        <f t="shared" si="39"/>
        <v/>
      </c>
      <c r="R457" t="str" cm="1">
        <f t="array" ref="R457">IF(O457,BSCall(swap_curve!$B$20,imvol!M457,imvol!P457,imvol!Q457,YEARFRAC(swap_curve!$C$1,imvol!N457)),"")</f>
        <v/>
      </c>
      <c r="S457" s="20" t="str">
        <f t="shared" si="35"/>
        <v/>
      </c>
    </row>
    <row r="458" spans="1:19" x14ac:dyDescent="0.3">
      <c r="A458" s="23" t="s">
        <v>344</v>
      </c>
      <c r="B458" s="23" t="s">
        <v>345</v>
      </c>
      <c r="C458" s="24">
        <v>4.2</v>
      </c>
      <c r="D458" s="24">
        <v>0.7</v>
      </c>
      <c r="E458" s="24">
        <v>4.0999999999999996</v>
      </c>
      <c r="F458" s="24">
        <v>4.28</v>
      </c>
      <c r="G458" s="24">
        <v>4</v>
      </c>
      <c r="H458" s="24">
        <v>16.2</v>
      </c>
      <c r="I458" s="24">
        <v>4.2</v>
      </c>
      <c r="J458" s="25">
        <v>1506</v>
      </c>
      <c r="K458" s="25">
        <v>1604</v>
      </c>
      <c r="L458" s="25">
        <v>8433</v>
      </c>
      <c r="M458" s="18">
        <f t="shared" si="37"/>
        <v>400</v>
      </c>
      <c r="N458" s="19">
        <f t="shared" si="38"/>
        <v>45547</v>
      </c>
      <c r="O458" s="18" t="b">
        <f t="shared" si="36"/>
        <v>1</v>
      </c>
      <c r="P458" s="43">
        <f>IF(O458,swap_curve!$B$19,"")</f>
        <v>3.5699999999999996E-2</v>
      </c>
      <c r="Q458">
        <v>0.16126504089314783</v>
      </c>
      <c r="R458" cm="1">
        <f t="array" ref="R458">IF(O458,BSCall(swap_curve!$B$20,imvol!M458,imvol!P458,imvol!Q458,YEARFRAC(swap_curve!$C$1,imvol!N458)),"")</f>
        <v>4.0871926302941688</v>
      </c>
      <c r="S458" s="20">
        <f t="shared" si="35"/>
        <v>-0.11280736970583138</v>
      </c>
    </row>
    <row r="459" spans="1:19" x14ac:dyDescent="0.3">
      <c r="A459" s="23" t="s">
        <v>346</v>
      </c>
      <c r="B459" s="23" t="s">
        <v>347</v>
      </c>
      <c r="C459" s="24">
        <v>3.35</v>
      </c>
      <c r="D459" s="24">
        <v>0.56999999999999995</v>
      </c>
      <c r="E459" s="24">
        <v>3.16</v>
      </c>
      <c r="F459" s="24">
        <v>3.41</v>
      </c>
      <c r="G459" s="24">
        <v>3.16</v>
      </c>
      <c r="H459" s="24">
        <v>16.100000000000001</v>
      </c>
      <c r="I459" s="24">
        <v>3.35</v>
      </c>
      <c r="J459" s="25">
        <v>7</v>
      </c>
      <c r="K459" s="25">
        <v>6</v>
      </c>
      <c r="L459" s="25">
        <v>330</v>
      </c>
      <c r="M459" s="18">
        <f t="shared" si="37"/>
        <v>405</v>
      </c>
      <c r="N459" s="19">
        <f t="shared" si="38"/>
        <v>45547</v>
      </c>
      <c r="O459" s="18" t="b">
        <f t="shared" si="36"/>
        <v>0</v>
      </c>
      <c r="P459" s="43" t="str">
        <f>IF(O459,swap_curve!$B$19,"")</f>
        <v/>
      </c>
      <c r="Q459" t="str">
        <f t="shared" si="39"/>
        <v/>
      </c>
      <c r="R459" t="str" cm="1">
        <f t="array" ref="R459">IF(O459,BSCall(swap_curve!$B$20,imvol!M459,imvol!P459,imvol!Q459,YEARFRAC(swap_curve!$C$1,imvol!N459)),"")</f>
        <v/>
      </c>
      <c r="S459" s="20" t="str">
        <f t="shared" si="35"/>
        <v/>
      </c>
    </row>
    <row r="460" spans="1:19" x14ac:dyDescent="0.3">
      <c r="A460" s="23" t="s">
        <v>348</v>
      </c>
      <c r="B460" s="23" t="s">
        <v>349</v>
      </c>
      <c r="C460" s="24">
        <v>2.68</v>
      </c>
      <c r="D460" s="24">
        <v>0.54</v>
      </c>
      <c r="E460" s="24">
        <v>2.5099999999999998</v>
      </c>
      <c r="F460" s="24">
        <v>2.7</v>
      </c>
      <c r="G460" s="24">
        <v>2.5099999999999998</v>
      </c>
      <c r="H460" s="24">
        <v>16.2</v>
      </c>
      <c r="I460" s="24">
        <v>2.68</v>
      </c>
      <c r="J460" s="25">
        <v>45</v>
      </c>
      <c r="K460" s="25">
        <v>30</v>
      </c>
      <c r="L460" s="25">
        <v>2571</v>
      </c>
      <c r="M460" s="18">
        <f t="shared" si="37"/>
        <v>410</v>
      </c>
      <c r="N460" s="19">
        <f t="shared" si="38"/>
        <v>45547</v>
      </c>
      <c r="O460" s="18" t="b">
        <f t="shared" si="36"/>
        <v>0</v>
      </c>
      <c r="P460" s="43" t="str">
        <f>IF(O460,swap_curve!$B$19,"")</f>
        <v/>
      </c>
      <c r="Q460" t="str">
        <f t="shared" si="39"/>
        <v/>
      </c>
      <c r="R460" t="str" cm="1">
        <f t="array" ref="R460">IF(O460,BSCall(swap_curve!$B$20,imvol!M460,imvol!P460,imvol!Q460,YEARFRAC(swap_curve!$C$1,imvol!N460)),"")</f>
        <v/>
      </c>
      <c r="S460" s="20" t="str">
        <f t="shared" si="35"/>
        <v/>
      </c>
    </row>
    <row r="461" spans="1:19" x14ac:dyDescent="0.3">
      <c r="A461" s="23" t="s">
        <v>350</v>
      </c>
      <c r="B461" s="23" t="s">
        <v>351</v>
      </c>
      <c r="C461" s="24">
        <v>2.08</v>
      </c>
      <c r="D461" s="24">
        <v>0.31</v>
      </c>
      <c r="E461" s="24">
        <v>1.84</v>
      </c>
      <c r="F461" s="24">
        <v>2.12</v>
      </c>
      <c r="G461" s="24">
        <v>1.84</v>
      </c>
      <c r="H461" s="24">
        <v>16.100000000000001</v>
      </c>
      <c r="I461" s="24">
        <v>2.08</v>
      </c>
      <c r="J461" s="25">
        <v>9</v>
      </c>
      <c r="K461" s="25">
        <v>5</v>
      </c>
      <c r="L461" s="25">
        <v>198</v>
      </c>
      <c r="M461" s="18">
        <f t="shared" si="37"/>
        <v>415</v>
      </c>
      <c r="N461" s="19">
        <f t="shared" si="38"/>
        <v>45547</v>
      </c>
      <c r="O461" s="18" t="b">
        <f t="shared" si="36"/>
        <v>0</v>
      </c>
      <c r="P461" s="43" t="str">
        <f>IF(O461,swap_curve!$B$19,"")</f>
        <v/>
      </c>
      <c r="Q461" t="str">
        <f t="shared" si="39"/>
        <v/>
      </c>
      <c r="R461" t="str" cm="1">
        <f t="array" ref="R461">IF(O461,BSCall(swap_curve!$B$20,imvol!M461,imvol!P461,imvol!Q461,YEARFRAC(swap_curve!$C$1,imvol!N461)),"")</f>
        <v/>
      </c>
      <c r="S461" s="20" t="str">
        <f t="shared" si="35"/>
        <v/>
      </c>
    </row>
    <row r="462" spans="1:19" x14ac:dyDescent="0.3">
      <c r="A462" s="23" t="s">
        <v>352</v>
      </c>
      <c r="B462" s="23" t="s">
        <v>353</v>
      </c>
      <c r="C462" s="24">
        <v>1.65</v>
      </c>
      <c r="D462" s="24">
        <v>0.26</v>
      </c>
      <c r="E462" s="24">
        <v>1.52</v>
      </c>
      <c r="F462" s="24">
        <v>1.68</v>
      </c>
      <c r="G462" s="24">
        <v>1.52</v>
      </c>
      <c r="H462" s="24">
        <v>16.3</v>
      </c>
      <c r="I462" s="24">
        <v>1.65</v>
      </c>
      <c r="J462" s="25">
        <v>26</v>
      </c>
      <c r="K462" s="25">
        <v>11</v>
      </c>
      <c r="L462" s="25">
        <v>1379</v>
      </c>
      <c r="M462" s="18">
        <f t="shared" si="37"/>
        <v>420</v>
      </c>
      <c r="N462" s="19">
        <f t="shared" si="38"/>
        <v>45547</v>
      </c>
      <c r="O462" s="18" t="b">
        <f t="shared" si="36"/>
        <v>0</v>
      </c>
      <c r="P462" s="43" t="str">
        <f>IF(O462,swap_curve!$B$19,"")</f>
        <v/>
      </c>
      <c r="Q462" t="str">
        <f t="shared" si="39"/>
        <v/>
      </c>
      <c r="R462" t="str" cm="1">
        <f t="array" ref="R462">IF(O462,BSCall(swap_curve!$B$20,imvol!M462,imvol!P462,imvol!Q462,YEARFRAC(swap_curve!$C$1,imvol!N462)),"")</f>
        <v/>
      </c>
      <c r="S462" s="20" t="str">
        <f t="shared" si="35"/>
        <v/>
      </c>
    </row>
    <row r="463" spans="1:19" x14ac:dyDescent="0.3">
      <c r="A463" s="23" t="s">
        <v>354</v>
      </c>
      <c r="B463" s="23" t="s">
        <v>355</v>
      </c>
      <c r="C463" s="24" t="s">
        <v>23</v>
      </c>
      <c r="D463" s="24" t="s">
        <v>23</v>
      </c>
      <c r="E463" s="24" t="s">
        <v>23</v>
      </c>
      <c r="F463" s="24" t="s">
        <v>23</v>
      </c>
      <c r="G463" s="24" t="s">
        <v>23</v>
      </c>
      <c r="H463" s="24">
        <v>16.3</v>
      </c>
      <c r="I463" s="24">
        <v>1.25</v>
      </c>
      <c r="J463" s="25">
        <v>0</v>
      </c>
      <c r="K463" s="25">
        <v>0</v>
      </c>
      <c r="L463" s="25">
        <v>645</v>
      </c>
      <c r="M463" s="18">
        <f t="shared" si="37"/>
        <v>425</v>
      </c>
      <c r="N463" s="19">
        <f t="shared" si="38"/>
        <v>45547</v>
      </c>
      <c r="O463" s="18" t="b">
        <f t="shared" si="36"/>
        <v>0</v>
      </c>
      <c r="P463" s="43" t="str">
        <f>IF(O463,swap_curve!$B$19,"")</f>
        <v/>
      </c>
      <c r="Q463" t="str">
        <f t="shared" si="39"/>
        <v/>
      </c>
      <c r="R463" t="str" cm="1">
        <f t="array" ref="R463">IF(O463,BSCall(swap_curve!$B$20,imvol!M463,imvol!P463,imvol!Q463,YEARFRAC(swap_curve!$C$1,imvol!N463)),"")</f>
        <v/>
      </c>
      <c r="S463" s="20" t="str">
        <f t="shared" si="35"/>
        <v/>
      </c>
    </row>
    <row r="464" spans="1:19" x14ac:dyDescent="0.3">
      <c r="A464" s="23" t="s">
        <v>356</v>
      </c>
      <c r="B464" s="23" t="s">
        <v>357</v>
      </c>
      <c r="C464" s="24">
        <v>1.02</v>
      </c>
      <c r="D464" s="24">
        <v>0.16</v>
      </c>
      <c r="E464" s="24">
        <v>1.02</v>
      </c>
      <c r="F464" s="24">
        <v>1.02</v>
      </c>
      <c r="G464" s="24">
        <v>1.02</v>
      </c>
      <c r="H464" s="24">
        <v>16.3</v>
      </c>
      <c r="I464" s="24">
        <v>1.02</v>
      </c>
      <c r="J464" s="25">
        <v>8</v>
      </c>
      <c r="K464" s="25">
        <v>2</v>
      </c>
      <c r="L464" s="25">
        <v>3193</v>
      </c>
      <c r="M464" s="18">
        <f t="shared" si="37"/>
        <v>430</v>
      </c>
      <c r="N464" s="19">
        <f t="shared" si="38"/>
        <v>45547</v>
      </c>
      <c r="O464" s="18" t="b">
        <f t="shared" si="36"/>
        <v>0</v>
      </c>
      <c r="P464" s="43" t="str">
        <f>IF(O464,swap_curve!$B$19,"")</f>
        <v/>
      </c>
      <c r="Q464" t="str">
        <f t="shared" si="39"/>
        <v/>
      </c>
      <c r="R464" t="str" cm="1">
        <f t="array" ref="R464">IF(O464,BSCall(swap_curve!$B$20,imvol!M464,imvol!P464,imvol!Q464,YEARFRAC(swap_curve!$C$1,imvol!N464)),"")</f>
        <v/>
      </c>
      <c r="S464" s="20" t="str">
        <f t="shared" si="35"/>
        <v/>
      </c>
    </row>
    <row r="465" spans="1:19" x14ac:dyDescent="0.3">
      <c r="A465" s="23" t="s">
        <v>358</v>
      </c>
      <c r="B465" s="23" t="s">
        <v>359</v>
      </c>
      <c r="C465" s="24">
        <v>0.81</v>
      </c>
      <c r="D465" s="24">
        <v>0.13</v>
      </c>
      <c r="E465" s="24">
        <v>0.8</v>
      </c>
      <c r="F465" s="24">
        <v>0.81</v>
      </c>
      <c r="G465" s="24">
        <v>0.8</v>
      </c>
      <c r="H465" s="24">
        <v>16.399999999999999</v>
      </c>
      <c r="I465" s="24">
        <v>0.81</v>
      </c>
      <c r="J465" s="25">
        <v>8</v>
      </c>
      <c r="K465" s="25">
        <v>2</v>
      </c>
      <c r="L465" s="25">
        <v>236</v>
      </c>
      <c r="M465" s="18">
        <f t="shared" si="37"/>
        <v>435</v>
      </c>
      <c r="N465" s="19">
        <f t="shared" si="38"/>
        <v>45547</v>
      </c>
      <c r="O465" s="18" t="b">
        <f t="shared" si="36"/>
        <v>0</v>
      </c>
      <c r="P465" s="43" t="str">
        <f>IF(O465,swap_curve!$B$19,"")</f>
        <v/>
      </c>
      <c r="Q465" t="str">
        <f t="shared" si="39"/>
        <v/>
      </c>
      <c r="R465" t="str" cm="1">
        <f t="array" ref="R465">IF(O465,BSCall(swap_curve!$B$20,imvol!M465,imvol!P465,imvol!Q465,YEARFRAC(swap_curve!$C$1,imvol!N465)),"")</f>
        <v/>
      </c>
      <c r="S465" s="20" t="str">
        <f t="shared" si="35"/>
        <v/>
      </c>
    </row>
    <row r="466" spans="1:19" x14ac:dyDescent="0.3">
      <c r="A466" s="23" t="s">
        <v>360</v>
      </c>
      <c r="B466" s="23" t="s">
        <v>361</v>
      </c>
      <c r="C466" s="24">
        <v>0.63</v>
      </c>
      <c r="D466" s="24">
        <v>0.09</v>
      </c>
      <c r="E466" s="24">
        <v>0.63</v>
      </c>
      <c r="F466" s="24">
        <v>0.63</v>
      </c>
      <c r="G466" s="24">
        <v>0.63</v>
      </c>
      <c r="H466" s="24">
        <v>16.7</v>
      </c>
      <c r="I466" s="24">
        <v>0.63</v>
      </c>
      <c r="J466" s="25">
        <v>8</v>
      </c>
      <c r="K466" s="25">
        <v>1</v>
      </c>
      <c r="L466" s="25">
        <v>223</v>
      </c>
      <c r="M466" s="18">
        <f t="shared" si="37"/>
        <v>440</v>
      </c>
      <c r="N466" s="19">
        <f t="shared" si="38"/>
        <v>45547</v>
      </c>
      <c r="O466" s="18" t="b">
        <f t="shared" si="36"/>
        <v>0</v>
      </c>
      <c r="P466" s="43" t="str">
        <f>IF(O466,swap_curve!$B$19,"")</f>
        <v/>
      </c>
      <c r="Q466" t="str">
        <f t="shared" si="39"/>
        <v/>
      </c>
      <c r="R466" t="str" cm="1">
        <f t="array" ref="R466">IF(O466,BSCall(swap_curve!$B$20,imvol!M466,imvol!P466,imvol!Q466,YEARFRAC(swap_curve!$C$1,imvol!N466)),"")</f>
        <v/>
      </c>
      <c r="S466" s="20" t="str">
        <f t="shared" si="35"/>
        <v/>
      </c>
    </row>
    <row r="467" spans="1:19" x14ac:dyDescent="0.3">
      <c r="A467" s="23" t="s">
        <v>362</v>
      </c>
      <c r="B467" s="23" t="s">
        <v>363</v>
      </c>
      <c r="C467" s="24" t="s">
        <v>23</v>
      </c>
      <c r="D467" s="24" t="s">
        <v>23</v>
      </c>
      <c r="E467" s="24" t="s">
        <v>23</v>
      </c>
      <c r="F467" s="24" t="s">
        <v>23</v>
      </c>
      <c r="G467" s="24" t="s">
        <v>23</v>
      </c>
      <c r="H467" s="24">
        <v>16.84</v>
      </c>
      <c r="I467" s="24">
        <v>0.52</v>
      </c>
      <c r="J467" s="25">
        <v>0</v>
      </c>
      <c r="K467" s="25">
        <v>0</v>
      </c>
      <c r="L467" s="25">
        <v>152</v>
      </c>
      <c r="M467" s="18">
        <f t="shared" si="37"/>
        <v>445</v>
      </c>
      <c r="N467" s="19">
        <f t="shared" si="38"/>
        <v>45547</v>
      </c>
      <c r="O467" s="18" t="b">
        <f t="shared" si="36"/>
        <v>0</v>
      </c>
      <c r="P467" s="43" t="str">
        <f>IF(O467,swap_curve!$B$19,"")</f>
        <v/>
      </c>
      <c r="Q467" t="str">
        <f t="shared" si="39"/>
        <v/>
      </c>
      <c r="R467" t="str" cm="1">
        <f t="array" ref="R467">IF(O467,BSCall(swap_curve!$B$20,imvol!M467,imvol!P467,imvol!Q467,YEARFRAC(swap_curve!$C$1,imvol!N467)),"")</f>
        <v/>
      </c>
      <c r="S467" s="20" t="str">
        <f t="shared" si="35"/>
        <v/>
      </c>
    </row>
    <row r="468" spans="1:19" x14ac:dyDescent="0.3">
      <c r="A468" s="23" t="s">
        <v>364</v>
      </c>
      <c r="B468" s="23" t="s">
        <v>365</v>
      </c>
      <c r="C468" s="24" t="s">
        <v>23</v>
      </c>
      <c r="D468" s="24" t="s">
        <v>23</v>
      </c>
      <c r="E468" s="24" t="s">
        <v>23</v>
      </c>
      <c r="F468" s="24" t="s">
        <v>23</v>
      </c>
      <c r="G468" s="24" t="s">
        <v>23</v>
      </c>
      <c r="H468" s="24">
        <v>16.98</v>
      </c>
      <c r="I468" s="24">
        <v>0.41</v>
      </c>
      <c r="J468" s="25">
        <v>0</v>
      </c>
      <c r="K468" s="25">
        <v>0</v>
      </c>
      <c r="L468" s="25">
        <v>234</v>
      </c>
      <c r="M468" s="18">
        <f t="shared" si="37"/>
        <v>450</v>
      </c>
      <c r="N468" s="19">
        <f t="shared" si="38"/>
        <v>45547</v>
      </c>
      <c r="O468" s="18" t="b">
        <f t="shared" si="36"/>
        <v>0</v>
      </c>
      <c r="P468" s="43" t="str">
        <f>IF(O468,swap_curve!$B$19,"")</f>
        <v/>
      </c>
      <c r="Q468" t="str">
        <f t="shared" si="39"/>
        <v/>
      </c>
      <c r="R468" t="str" cm="1">
        <f t="array" ref="R468">IF(O468,BSCall(swap_curve!$B$20,imvol!M468,imvol!P468,imvol!Q468,YEARFRAC(swap_curve!$C$1,imvol!N468)),"")</f>
        <v/>
      </c>
      <c r="S468" s="20" t="str">
        <f t="shared" si="35"/>
        <v/>
      </c>
    </row>
    <row r="469" spans="1:19" x14ac:dyDescent="0.3">
      <c r="A469" s="23" t="s">
        <v>366</v>
      </c>
      <c r="B469" s="23" t="s">
        <v>367</v>
      </c>
      <c r="C469" s="24" t="s">
        <v>23</v>
      </c>
      <c r="D469" s="24" t="s">
        <v>23</v>
      </c>
      <c r="E469" s="24" t="s">
        <v>23</v>
      </c>
      <c r="F469" s="24" t="s">
        <v>23</v>
      </c>
      <c r="G469" s="24" t="s">
        <v>23</v>
      </c>
      <c r="H469" s="24">
        <v>17.12</v>
      </c>
      <c r="I469" s="24">
        <v>0.31</v>
      </c>
      <c r="J469" s="25">
        <v>0</v>
      </c>
      <c r="K469" s="25">
        <v>0</v>
      </c>
      <c r="L469" s="25">
        <v>78</v>
      </c>
      <c r="M469" s="18">
        <f t="shared" si="37"/>
        <v>455</v>
      </c>
      <c r="N469" s="19">
        <f t="shared" si="38"/>
        <v>45547</v>
      </c>
      <c r="O469" s="18" t="b">
        <f t="shared" si="36"/>
        <v>0</v>
      </c>
      <c r="P469" s="43" t="str">
        <f>IF(O469,swap_curve!$B$19,"")</f>
        <v/>
      </c>
      <c r="Q469" t="str">
        <f t="shared" si="39"/>
        <v/>
      </c>
      <c r="R469" t="str" cm="1">
        <f t="array" ref="R469">IF(O469,BSCall(swap_curve!$B$20,imvol!M469,imvol!P469,imvol!Q469,YEARFRAC(swap_curve!$C$1,imvol!N469)),"")</f>
        <v/>
      </c>
      <c r="S469" s="20" t="str">
        <f t="shared" si="35"/>
        <v/>
      </c>
    </row>
    <row r="470" spans="1:19" x14ac:dyDescent="0.3">
      <c r="A470" s="23" t="s">
        <v>368</v>
      </c>
      <c r="B470" s="23" t="s">
        <v>369</v>
      </c>
      <c r="C470" s="24" t="s">
        <v>23</v>
      </c>
      <c r="D470" s="24" t="s">
        <v>23</v>
      </c>
      <c r="E470" s="24" t="s">
        <v>23</v>
      </c>
      <c r="F470" s="24" t="s">
        <v>23</v>
      </c>
      <c r="G470" s="24" t="s">
        <v>23</v>
      </c>
      <c r="H470" s="24">
        <v>17.260000000000002</v>
      </c>
      <c r="I470" s="24">
        <v>0.26</v>
      </c>
      <c r="J470" s="25">
        <v>0</v>
      </c>
      <c r="K470" s="25">
        <v>0</v>
      </c>
      <c r="L470" s="25">
        <v>56</v>
      </c>
      <c r="M470" s="18">
        <f t="shared" si="37"/>
        <v>460</v>
      </c>
      <c r="N470" s="19">
        <f t="shared" si="38"/>
        <v>45547</v>
      </c>
      <c r="O470" s="18" t="b">
        <f t="shared" si="36"/>
        <v>0</v>
      </c>
      <c r="P470" s="43" t="str">
        <f>IF(O470,swap_curve!$B$19,"")</f>
        <v/>
      </c>
      <c r="Q470" t="str">
        <f t="shared" si="39"/>
        <v/>
      </c>
      <c r="R470" t="str" cm="1">
        <f t="array" ref="R470">IF(O470,BSCall(swap_curve!$B$20,imvol!M470,imvol!P470,imvol!Q470,YEARFRAC(swap_curve!$C$1,imvol!N470)),"")</f>
        <v/>
      </c>
      <c r="S470" s="20" t="str">
        <f t="shared" si="35"/>
        <v/>
      </c>
    </row>
    <row r="471" spans="1:19" x14ac:dyDescent="0.3">
      <c r="A471" s="23" t="s">
        <v>370</v>
      </c>
      <c r="B471" s="23" t="s">
        <v>371</v>
      </c>
      <c r="C471" s="24">
        <v>0.2</v>
      </c>
      <c r="D471" s="24">
        <v>0.06</v>
      </c>
      <c r="E471" s="24">
        <v>0.18</v>
      </c>
      <c r="F471" s="24">
        <v>0.2</v>
      </c>
      <c r="G471" s="24">
        <v>0.18</v>
      </c>
      <c r="H471" s="24">
        <v>17.399999999999999</v>
      </c>
      <c r="I471" s="24">
        <v>0.2</v>
      </c>
      <c r="J471" s="25">
        <v>3</v>
      </c>
      <c r="K471" s="25">
        <v>0</v>
      </c>
      <c r="L471" s="25">
        <v>239</v>
      </c>
      <c r="M471" s="18">
        <f t="shared" si="37"/>
        <v>465</v>
      </c>
      <c r="N471" s="19">
        <f t="shared" si="38"/>
        <v>45547</v>
      </c>
      <c r="O471" s="18" t="b">
        <f t="shared" si="36"/>
        <v>0</v>
      </c>
      <c r="P471" s="43" t="str">
        <f>IF(O471,swap_curve!$B$19,"")</f>
        <v/>
      </c>
      <c r="Q471" t="str">
        <f t="shared" si="39"/>
        <v/>
      </c>
      <c r="R471" t="str" cm="1">
        <f t="array" ref="R471">IF(O471,BSCall(swap_curve!$B$20,imvol!M471,imvol!P471,imvol!Q471,YEARFRAC(swap_curve!$C$1,imvol!N471)),"")</f>
        <v/>
      </c>
      <c r="S471" s="20" t="str">
        <f t="shared" si="35"/>
        <v/>
      </c>
    </row>
    <row r="472" spans="1:19" x14ac:dyDescent="0.3">
      <c r="A472" s="23" t="s">
        <v>372</v>
      </c>
      <c r="B472" s="23" t="s">
        <v>373</v>
      </c>
      <c r="C472" s="24" t="s">
        <v>23</v>
      </c>
      <c r="D472" s="24" t="s">
        <v>23</v>
      </c>
      <c r="E472" s="24" t="s">
        <v>23</v>
      </c>
      <c r="F472" s="24" t="s">
        <v>23</v>
      </c>
      <c r="G472" s="24" t="s">
        <v>23</v>
      </c>
      <c r="H472" s="24">
        <v>17.649999999999999</v>
      </c>
      <c r="I472" s="24">
        <v>0.17</v>
      </c>
      <c r="J472" s="25">
        <v>0</v>
      </c>
      <c r="K472" s="25">
        <v>0</v>
      </c>
      <c r="L472" s="25">
        <v>118</v>
      </c>
      <c r="M472" s="18">
        <f t="shared" si="37"/>
        <v>470</v>
      </c>
      <c r="N472" s="19">
        <f t="shared" si="38"/>
        <v>45547</v>
      </c>
      <c r="O472" s="18" t="b">
        <f t="shared" si="36"/>
        <v>0</v>
      </c>
      <c r="P472" s="43" t="str">
        <f>IF(O472,swap_curve!$B$19,"")</f>
        <v/>
      </c>
      <c r="Q472" t="str">
        <f t="shared" si="39"/>
        <v/>
      </c>
      <c r="R472" t="str" cm="1">
        <f t="array" ref="R472">IF(O472,BSCall(swap_curve!$B$20,imvol!M472,imvol!P472,imvol!Q472,YEARFRAC(swap_curve!$C$1,imvol!N472)),"")</f>
        <v/>
      </c>
      <c r="S472" s="20" t="str">
        <f t="shared" si="35"/>
        <v/>
      </c>
    </row>
    <row r="473" spans="1:19" x14ac:dyDescent="0.3">
      <c r="A473" s="23" t="s">
        <v>1284</v>
      </c>
      <c r="B473" s="23" t="s">
        <v>1285</v>
      </c>
      <c r="C473" s="24" t="s">
        <v>23</v>
      </c>
      <c r="D473" s="24" t="s">
        <v>23</v>
      </c>
      <c r="E473" s="24" t="s">
        <v>23</v>
      </c>
      <c r="F473" s="24" t="s">
        <v>23</v>
      </c>
      <c r="G473" s="24" t="s">
        <v>23</v>
      </c>
      <c r="H473" s="24">
        <v>17.899999999999999</v>
      </c>
      <c r="I473" s="24">
        <v>0.13</v>
      </c>
      <c r="J473" s="25">
        <v>0</v>
      </c>
      <c r="K473" s="25">
        <v>0</v>
      </c>
      <c r="L473" s="25">
        <v>3</v>
      </c>
      <c r="M473" s="18">
        <f t="shared" si="37"/>
        <v>475</v>
      </c>
      <c r="N473" s="19">
        <f t="shared" si="38"/>
        <v>45547</v>
      </c>
      <c r="O473" s="18" t="b">
        <f t="shared" si="36"/>
        <v>0</v>
      </c>
      <c r="P473" s="43" t="str">
        <f>IF(O473,swap_curve!$B$19,"")</f>
        <v/>
      </c>
      <c r="Q473" t="str">
        <f t="shared" si="39"/>
        <v/>
      </c>
      <c r="R473" t="str" cm="1">
        <f t="array" ref="R473">IF(O473,BSCall(swap_curve!$B$20,imvol!M473,imvol!P473,imvol!Q473,YEARFRAC(swap_curve!$C$1,imvol!N473)),"")</f>
        <v/>
      </c>
      <c r="S473" s="20" t="str">
        <f t="shared" si="35"/>
        <v/>
      </c>
    </row>
    <row r="474" spans="1:19" x14ac:dyDescent="0.3">
      <c r="A474" s="23" t="s">
        <v>1286</v>
      </c>
      <c r="B474" s="23" t="s">
        <v>1287</v>
      </c>
      <c r="C474" s="24" t="s">
        <v>23</v>
      </c>
      <c r="D474" s="24" t="s">
        <v>23</v>
      </c>
      <c r="E474" s="24" t="s">
        <v>23</v>
      </c>
      <c r="F474" s="24" t="s">
        <v>23</v>
      </c>
      <c r="G474" s="24" t="s">
        <v>23</v>
      </c>
      <c r="H474" s="24">
        <v>18.149999999999999</v>
      </c>
      <c r="I474" s="24">
        <v>0.12</v>
      </c>
      <c r="J474" s="25">
        <v>0</v>
      </c>
      <c r="K474" s="25">
        <v>0</v>
      </c>
      <c r="L474" s="25">
        <v>247</v>
      </c>
      <c r="M474" s="18">
        <f t="shared" si="37"/>
        <v>480</v>
      </c>
      <c r="N474" s="19">
        <f t="shared" si="38"/>
        <v>45547</v>
      </c>
      <c r="O474" s="18" t="b">
        <f t="shared" si="36"/>
        <v>0</v>
      </c>
      <c r="P474" s="43" t="str">
        <f>IF(O474,swap_curve!$B$19,"")</f>
        <v/>
      </c>
      <c r="Q474" t="str">
        <f t="shared" si="39"/>
        <v/>
      </c>
      <c r="R474" t="str" cm="1">
        <f t="array" ref="R474">IF(O474,BSCall(swap_curve!$B$20,imvol!M474,imvol!P474,imvol!Q474,YEARFRAC(swap_curve!$C$1,imvol!N474)),"")</f>
        <v/>
      </c>
      <c r="S474" s="20" t="str">
        <f t="shared" si="35"/>
        <v/>
      </c>
    </row>
    <row r="475" spans="1:19" x14ac:dyDescent="0.3">
      <c r="A475" s="23" t="s">
        <v>1288</v>
      </c>
      <c r="B475" s="23" t="s">
        <v>1289</v>
      </c>
      <c r="C475" s="24" t="s">
        <v>23</v>
      </c>
      <c r="D475" s="24" t="s">
        <v>23</v>
      </c>
      <c r="E475" s="24" t="s">
        <v>23</v>
      </c>
      <c r="F475" s="24" t="s">
        <v>23</v>
      </c>
      <c r="G475" s="24" t="s">
        <v>23</v>
      </c>
      <c r="H475" s="24">
        <v>18.399999999999999</v>
      </c>
      <c r="I475" s="24">
        <v>0.1</v>
      </c>
      <c r="J475" s="25">
        <v>0</v>
      </c>
      <c r="K475" s="25">
        <v>0</v>
      </c>
      <c r="L475" s="25">
        <v>32</v>
      </c>
      <c r="M475" s="18">
        <f t="shared" si="37"/>
        <v>485</v>
      </c>
      <c r="N475" s="19">
        <f t="shared" si="38"/>
        <v>45547</v>
      </c>
      <c r="O475" s="18" t="b">
        <f t="shared" si="36"/>
        <v>0</v>
      </c>
      <c r="P475" s="43" t="str">
        <f>IF(O475,swap_curve!$B$19,"")</f>
        <v/>
      </c>
      <c r="Q475" t="str">
        <f t="shared" si="39"/>
        <v/>
      </c>
      <c r="R475" t="str" cm="1">
        <f t="array" ref="R475">IF(O475,BSCall(swap_curve!$B$20,imvol!M475,imvol!P475,imvol!Q475,YEARFRAC(swap_curve!$C$1,imvol!N475)),"")</f>
        <v/>
      </c>
      <c r="S475" s="20" t="str">
        <f t="shared" si="35"/>
        <v/>
      </c>
    </row>
    <row r="476" spans="1:19" x14ac:dyDescent="0.3">
      <c r="A476" s="23" t="s">
        <v>1290</v>
      </c>
      <c r="B476" s="23" t="s">
        <v>1291</v>
      </c>
      <c r="C476" s="24" t="s">
        <v>23</v>
      </c>
      <c r="D476" s="24" t="s">
        <v>23</v>
      </c>
      <c r="E476" s="24" t="s">
        <v>23</v>
      </c>
      <c r="F476" s="24" t="s">
        <v>23</v>
      </c>
      <c r="G476" s="24" t="s">
        <v>23</v>
      </c>
      <c r="H476" s="24">
        <v>18.649999999999999</v>
      </c>
      <c r="I476" s="24">
        <v>0.09</v>
      </c>
      <c r="J476" s="25">
        <v>0</v>
      </c>
      <c r="K476" s="25">
        <v>0</v>
      </c>
      <c r="L476" s="25">
        <v>2</v>
      </c>
      <c r="M476" s="18">
        <f t="shared" si="37"/>
        <v>490</v>
      </c>
      <c r="N476" s="19">
        <f t="shared" si="38"/>
        <v>45547</v>
      </c>
      <c r="O476" s="18" t="b">
        <f t="shared" si="36"/>
        <v>0</v>
      </c>
      <c r="P476" s="43" t="str">
        <f>IF(O476,swap_curve!$B$19,"")</f>
        <v/>
      </c>
      <c r="Q476" t="str">
        <f t="shared" si="39"/>
        <v/>
      </c>
      <c r="R476" t="str" cm="1">
        <f t="array" ref="R476">IF(O476,BSCall(swap_curve!$B$20,imvol!M476,imvol!P476,imvol!Q476,YEARFRAC(swap_curve!$C$1,imvol!N476)),"")</f>
        <v/>
      </c>
      <c r="S476" s="20" t="str">
        <f t="shared" si="35"/>
        <v/>
      </c>
    </row>
    <row r="477" spans="1:19" x14ac:dyDescent="0.3">
      <c r="A477" s="23" t="s">
        <v>1292</v>
      </c>
      <c r="B477" s="23" t="s">
        <v>1293</v>
      </c>
      <c r="C477" s="24">
        <v>7.0000000000000007E-2</v>
      </c>
      <c r="D477" s="24">
        <v>0.05</v>
      </c>
      <c r="E477" s="24">
        <v>7.0000000000000007E-2</v>
      </c>
      <c r="F477" s="24">
        <v>7.0000000000000007E-2</v>
      </c>
      <c r="G477" s="24">
        <v>7.0000000000000007E-2</v>
      </c>
      <c r="H477" s="24">
        <v>18.899999999999999</v>
      </c>
      <c r="I477" s="24">
        <v>7.0000000000000007E-2</v>
      </c>
      <c r="J477" s="25">
        <v>2</v>
      </c>
      <c r="K477" s="25">
        <v>0</v>
      </c>
      <c r="L477" s="25">
        <v>61</v>
      </c>
      <c r="M477" s="18">
        <f t="shared" si="37"/>
        <v>495</v>
      </c>
      <c r="N477" s="19">
        <f t="shared" si="38"/>
        <v>45547</v>
      </c>
      <c r="O477" s="18" t="b">
        <f t="shared" si="36"/>
        <v>0</v>
      </c>
      <c r="P477" s="43" t="str">
        <f>IF(O477,swap_curve!$B$19,"")</f>
        <v/>
      </c>
      <c r="Q477" t="str">
        <f t="shared" si="39"/>
        <v/>
      </c>
      <c r="R477" t="str" cm="1">
        <f t="array" ref="R477">IF(O477,BSCall(swap_curve!$B$20,imvol!M477,imvol!P477,imvol!Q477,YEARFRAC(swap_curve!$C$1,imvol!N477)),"")</f>
        <v/>
      </c>
      <c r="S477" s="20" t="str">
        <f t="shared" si="35"/>
        <v/>
      </c>
    </row>
    <row r="478" spans="1:19" x14ac:dyDescent="0.3">
      <c r="A478" s="23" t="s">
        <v>1294</v>
      </c>
      <c r="B478" s="23" t="s">
        <v>1295</v>
      </c>
      <c r="C478" s="24" t="s">
        <v>23</v>
      </c>
      <c r="D478" s="24" t="s">
        <v>23</v>
      </c>
      <c r="E478" s="24" t="s">
        <v>23</v>
      </c>
      <c r="F478" s="24" t="s">
        <v>23</v>
      </c>
      <c r="G478" s="24" t="s">
        <v>23</v>
      </c>
      <c r="H478" s="24">
        <v>15.8</v>
      </c>
      <c r="I478" s="24">
        <v>131.19999999999999</v>
      </c>
      <c r="J478" s="25">
        <v>0</v>
      </c>
      <c r="K478" s="25">
        <v>0</v>
      </c>
      <c r="L478" s="25">
        <v>0</v>
      </c>
      <c r="M478" s="18">
        <f t="shared" si="37"/>
        <v>235</v>
      </c>
      <c r="N478" s="19">
        <f t="shared" si="38"/>
        <v>45575</v>
      </c>
      <c r="O478" s="18" t="b">
        <f t="shared" si="36"/>
        <v>0</v>
      </c>
      <c r="P478" s="43" t="str">
        <f>IF(O478,swap_curve!$B$19,"")</f>
        <v/>
      </c>
      <c r="Q478" t="str">
        <f t="shared" si="39"/>
        <v/>
      </c>
      <c r="R478" t="str" cm="1">
        <f t="array" ref="R478">IF(O478,BSCall(swap_curve!$B$20,imvol!M478,imvol!P478,imvol!Q478,YEARFRAC(swap_curve!$C$1,imvol!N478)),"")</f>
        <v/>
      </c>
      <c r="S478" s="20" t="str">
        <f t="shared" si="35"/>
        <v/>
      </c>
    </row>
    <row r="479" spans="1:19" x14ac:dyDescent="0.3">
      <c r="A479" s="23" t="s">
        <v>1296</v>
      </c>
      <c r="B479" s="23" t="s">
        <v>1297</v>
      </c>
      <c r="C479" s="24" t="s">
        <v>23</v>
      </c>
      <c r="D479" s="24" t="s">
        <v>23</v>
      </c>
      <c r="E479" s="24" t="s">
        <v>23</v>
      </c>
      <c r="F479" s="24" t="s">
        <v>23</v>
      </c>
      <c r="G479" s="24" t="s">
        <v>23</v>
      </c>
      <c r="H479" s="24">
        <v>15.8</v>
      </c>
      <c r="I479" s="24">
        <v>126.25</v>
      </c>
      <c r="J479" s="25">
        <v>0</v>
      </c>
      <c r="K479" s="25">
        <v>0</v>
      </c>
      <c r="L479" s="25">
        <v>0</v>
      </c>
      <c r="M479" s="18">
        <f t="shared" si="37"/>
        <v>240</v>
      </c>
      <c r="N479" s="19">
        <f t="shared" si="38"/>
        <v>45575</v>
      </c>
      <c r="O479" s="18" t="b">
        <f t="shared" si="36"/>
        <v>0</v>
      </c>
      <c r="P479" s="43" t="str">
        <f>IF(O479,swap_curve!$B$19,"")</f>
        <v/>
      </c>
      <c r="Q479" t="str">
        <f t="shared" si="39"/>
        <v/>
      </c>
      <c r="R479" t="str" cm="1">
        <f t="array" ref="R479">IF(O479,BSCall(swap_curve!$B$20,imvol!M479,imvol!P479,imvol!Q479,YEARFRAC(swap_curve!$C$1,imvol!N479)),"")</f>
        <v/>
      </c>
      <c r="S479" s="20" t="str">
        <f t="shared" si="35"/>
        <v/>
      </c>
    </row>
    <row r="480" spans="1:19" x14ac:dyDescent="0.3">
      <c r="A480" s="23" t="s">
        <v>1298</v>
      </c>
      <c r="B480" s="23" t="s">
        <v>1299</v>
      </c>
      <c r="C480" s="24" t="s">
        <v>23</v>
      </c>
      <c r="D480" s="24" t="s">
        <v>23</v>
      </c>
      <c r="E480" s="24" t="s">
        <v>23</v>
      </c>
      <c r="F480" s="24" t="s">
        <v>23</v>
      </c>
      <c r="G480" s="24" t="s">
        <v>23</v>
      </c>
      <c r="H480" s="24">
        <v>15.8</v>
      </c>
      <c r="I480" s="24">
        <v>121.35</v>
      </c>
      <c r="J480" s="25">
        <v>0</v>
      </c>
      <c r="K480" s="25">
        <v>0</v>
      </c>
      <c r="L480" s="25">
        <v>0</v>
      </c>
      <c r="M480" s="18">
        <f t="shared" si="37"/>
        <v>245</v>
      </c>
      <c r="N480" s="19">
        <f t="shared" si="38"/>
        <v>45575</v>
      </c>
      <c r="O480" s="18" t="b">
        <f t="shared" si="36"/>
        <v>0</v>
      </c>
      <c r="P480" s="43" t="str">
        <f>IF(O480,swap_curve!$B$19,"")</f>
        <v/>
      </c>
      <c r="Q480" t="str">
        <f t="shared" si="39"/>
        <v/>
      </c>
      <c r="R480" t="str" cm="1">
        <f t="array" ref="R480">IF(O480,BSCall(swap_curve!$B$20,imvol!M480,imvol!P480,imvol!Q480,YEARFRAC(swap_curve!$C$1,imvol!N480)),"")</f>
        <v/>
      </c>
      <c r="S480" s="20" t="str">
        <f t="shared" si="35"/>
        <v/>
      </c>
    </row>
    <row r="481" spans="1:19" x14ac:dyDescent="0.3">
      <c r="A481" s="23" t="s">
        <v>1300</v>
      </c>
      <c r="B481" s="23" t="s">
        <v>1301</v>
      </c>
      <c r="C481" s="24" t="s">
        <v>23</v>
      </c>
      <c r="D481" s="24" t="s">
        <v>23</v>
      </c>
      <c r="E481" s="24" t="s">
        <v>23</v>
      </c>
      <c r="F481" s="24" t="s">
        <v>23</v>
      </c>
      <c r="G481" s="24" t="s">
        <v>23</v>
      </c>
      <c r="H481" s="24">
        <v>15.8</v>
      </c>
      <c r="I481" s="24">
        <v>116.4</v>
      </c>
      <c r="J481" s="25">
        <v>0</v>
      </c>
      <c r="K481" s="25">
        <v>0</v>
      </c>
      <c r="L481" s="25">
        <v>0</v>
      </c>
      <c r="M481" s="18">
        <f t="shared" si="37"/>
        <v>250</v>
      </c>
      <c r="N481" s="19">
        <f t="shared" si="38"/>
        <v>45575</v>
      </c>
      <c r="O481" s="18" t="b">
        <f t="shared" si="36"/>
        <v>0</v>
      </c>
      <c r="P481" s="43" t="str">
        <f>IF(O481,swap_curve!$B$19,"")</f>
        <v/>
      </c>
      <c r="Q481" t="str">
        <f t="shared" si="39"/>
        <v/>
      </c>
      <c r="R481" t="str" cm="1">
        <f t="array" ref="R481">IF(O481,BSCall(swap_curve!$B$20,imvol!M481,imvol!P481,imvol!Q481,YEARFRAC(swap_curve!$C$1,imvol!N481)),"")</f>
        <v/>
      </c>
      <c r="S481" s="20" t="str">
        <f t="shared" si="35"/>
        <v/>
      </c>
    </row>
    <row r="482" spans="1:19" x14ac:dyDescent="0.3">
      <c r="A482" s="23" t="s">
        <v>1302</v>
      </c>
      <c r="B482" s="23" t="s">
        <v>1303</v>
      </c>
      <c r="C482" s="24" t="s">
        <v>23</v>
      </c>
      <c r="D482" s="24" t="s">
        <v>23</v>
      </c>
      <c r="E482" s="24" t="s">
        <v>23</v>
      </c>
      <c r="F482" s="24" t="s">
        <v>23</v>
      </c>
      <c r="G482" s="24" t="s">
        <v>23</v>
      </c>
      <c r="H482" s="24">
        <v>15.8</v>
      </c>
      <c r="I482" s="24">
        <v>111.5</v>
      </c>
      <c r="J482" s="25">
        <v>0</v>
      </c>
      <c r="K482" s="25">
        <v>0</v>
      </c>
      <c r="L482" s="25">
        <v>0</v>
      </c>
      <c r="M482" s="18">
        <f t="shared" si="37"/>
        <v>255</v>
      </c>
      <c r="N482" s="19">
        <f t="shared" si="38"/>
        <v>45575</v>
      </c>
      <c r="O482" s="18" t="b">
        <f t="shared" si="36"/>
        <v>0</v>
      </c>
      <c r="P482" s="43" t="str">
        <f>IF(O482,swap_curve!$B$19,"")</f>
        <v/>
      </c>
      <c r="Q482" t="str">
        <f t="shared" si="39"/>
        <v/>
      </c>
      <c r="R482" t="str" cm="1">
        <f t="array" ref="R482">IF(O482,BSCall(swap_curve!$B$20,imvol!M482,imvol!P482,imvol!Q482,YEARFRAC(swap_curve!$C$1,imvol!N482)),"")</f>
        <v/>
      </c>
      <c r="S482" s="20" t="str">
        <f t="shared" si="35"/>
        <v/>
      </c>
    </row>
    <row r="483" spans="1:19" x14ac:dyDescent="0.3">
      <c r="A483" s="23" t="s">
        <v>1304</v>
      </c>
      <c r="B483" s="23" t="s">
        <v>1305</v>
      </c>
      <c r="C483" s="24" t="s">
        <v>23</v>
      </c>
      <c r="D483" s="24" t="s">
        <v>23</v>
      </c>
      <c r="E483" s="24" t="s">
        <v>23</v>
      </c>
      <c r="F483" s="24" t="s">
        <v>23</v>
      </c>
      <c r="G483" s="24" t="s">
        <v>23</v>
      </c>
      <c r="H483" s="24">
        <v>15.8</v>
      </c>
      <c r="I483" s="24">
        <v>106.6</v>
      </c>
      <c r="J483" s="25">
        <v>0</v>
      </c>
      <c r="K483" s="25">
        <v>0</v>
      </c>
      <c r="L483" s="25">
        <v>0</v>
      </c>
      <c r="M483" s="18">
        <f t="shared" si="37"/>
        <v>260</v>
      </c>
      <c r="N483" s="19">
        <f t="shared" si="38"/>
        <v>45575</v>
      </c>
      <c r="O483" s="18" t="b">
        <f t="shared" si="36"/>
        <v>0</v>
      </c>
      <c r="P483" s="43" t="str">
        <f>IF(O483,swap_curve!$B$19,"")</f>
        <v/>
      </c>
      <c r="Q483" t="str">
        <f t="shared" si="39"/>
        <v/>
      </c>
      <c r="R483" t="str" cm="1">
        <f t="array" ref="R483">IF(O483,BSCall(swap_curve!$B$20,imvol!M483,imvol!P483,imvol!Q483,YEARFRAC(swap_curve!$C$1,imvol!N483)),"")</f>
        <v/>
      </c>
      <c r="S483" s="20" t="str">
        <f t="shared" si="35"/>
        <v/>
      </c>
    </row>
    <row r="484" spans="1:19" x14ac:dyDescent="0.3">
      <c r="A484" s="23" t="s">
        <v>1306</v>
      </c>
      <c r="B484" s="23" t="s">
        <v>1307</v>
      </c>
      <c r="C484" s="24" t="s">
        <v>23</v>
      </c>
      <c r="D484" s="24" t="s">
        <v>23</v>
      </c>
      <c r="E484" s="24" t="s">
        <v>23</v>
      </c>
      <c r="F484" s="24" t="s">
        <v>23</v>
      </c>
      <c r="G484" s="24" t="s">
        <v>23</v>
      </c>
      <c r="H484" s="24">
        <v>15.8</v>
      </c>
      <c r="I484" s="24">
        <v>101.65</v>
      </c>
      <c r="J484" s="25">
        <v>0</v>
      </c>
      <c r="K484" s="25">
        <v>0</v>
      </c>
      <c r="L484" s="25">
        <v>0</v>
      </c>
      <c r="M484" s="18">
        <f t="shared" si="37"/>
        <v>265</v>
      </c>
      <c r="N484" s="19">
        <f t="shared" si="38"/>
        <v>45575</v>
      </c>
      <c r="O484" s="18" t="b">
        <f t="shared" si="36"/>
        <v>0</v>
      </c>
      <c r="P484" s="43" t="str">
        <f>IF(O484,swap_curve!$B$19,"")</f>
        <v/>
      </c>
      <c r="Q484" t="str">
        <f t="shared" si="39"/>
        <v/>
      </c>
      <c r="R484" t="str" cm="1">
        <f t="array" ref="R484">IF(O484,BSCall(swap_curve!$B$20,imvol!M484,imvol!P484,imvol!Q484,YEARFRAC(swap_curve!$C$1,imvol!N484)),"")</f>
        <v/>
      </c>
      <c r="S484" s="20" t="str">
        <f t="shared" si="35"/>
        <v/>
      </c>
    </row>
    <row r="485" spans="1:19" x14ac:dyDescent="0.3">
      <c r="A485" s="23" t="s">
        <v>1308</v>
      </c>
      <c r="B485" s="23" t="s">
        <v>1309</v>
      </c>
      <c r="C485" s="24" t="s">
        <v>23</v>
      </c>
      <c r="D485" s="24" t="s">
        <v>23</v>
      </c>
      <c r="E485" s="24" t="s">
        <v>23</v>
      </c>
      <c r="F485" s="24" t="s">
        <v>23</v>
      </c>
      <c r="G485" s="24" t="s">
        <v>23</v>
      </c>
      <c r="H485" s="24">
        <v>15.8</v>
      </c>
      <c r="I485" s="24">
        <v>96.75</v>
      </c>
      <c r="J485" s="25">
        <v>0</v>
      </c>
      <c r="K485" s="25">
        <v>0</v>
      </c>
      <c r="L485" s="25">
        <v>0</v>
      </c>
      <c r="M485" s="18">
        <f t="shared" si="37"/>
        <v>270</v>
      </c>
      <c r="N485" s="19">
        <f t="shared" si="38"/>
        <v>45575</v>
      </c>
      <c r="O485" s="18" t="b">
        <f t="shared" si="36"/>
        <v>0</v>
      </c>
      <c r="P485" s="43" t="str">
        <f>IF(O485,swap_curve!$B$19,"")</f>
        <v/>
      </c>
      <c r="Q485" t="str">
        <f t="shared" si="39"/>
        <v/>
      </c>
      <c r="R485" t="str" cm="1">
        <f t="array" ref="R485">IF(O485,BSCall(swap_curve!$B$20,imvol!M485,imvol!P485,imvol!Q485,YEARFRAC(swap_curve!$C$1,imvol!N485)),"")</f>
        <v/>
      </c>
      <c r="S485" s="20" t="str">
        <f t="shared" si="35"/>
        <v/>
      </c>
    </row>
    <row r="486" spans="1:19" x14ac:dyDescent="0.3">
      <c r="A486" s="23" t="s">
        <v>1310</v>
      </c>
      <c r="B486" s="23" t="s">
        <v>1311</v>
      </c>
      <c r="C486" s="24" t="s">
        <v>23</v>
      </c>
      <c r="D486" s="24" t="s">
        <v>23</v>
      </c>
      <c r="E486" s="24" t="s">
        <v>23</v>
      </c>
      <c r="F486" s="24" t="s">
        <v>23</v>
      </c>
      <c r="G486" s="24" t="s">
        <v>23</v>
      </c>
      <c r="H486" s="24">
        <v>15.8</v>
      </c>
      <c r="I486" s="24">
        <v>91.85</v>
      </c>
      <c r="J486" s="25">
        <v>0</v>
      </c>
      <c r="K486" s="25">
        <v>0</v>
      </c>
      <c r="L486" s="25">
        <v>0</v>
      </c>
      <c r="M486" s="18">
        <f t="shared" si="37"/>
        <v>275</v>
      </c>
      <c r="N486" s="19">
        <f t="shared" si="38"/>
        <v>45575</v>
      </c>
      <c r="O486" s="18" t="b">
        <f t="shared" si="36"/>
        <v>0</v>
      </c>
      <c r="P486" s="43" t="str">
        <f>IF(O486,swap_curve!$B$19,"")</f>
        <v/>
      </c>
      <c r="Q486" t="str">
        <f t="shared" si="39"/>
        <v/>
      </c>
      <c r="R486" t="str" cm="1">
        <f t="array" ref="R486">IF(O486,BSCall(swap_curve!$B$20,imvol!M486,imvol!P486,imvol!Q486,YEARFRAC(swap_curve!$C$1,imvol!N486)),"")</f>
        <v/>
      </c>
      <c r="S486" s="20" t="str">
        <f t="shared" si="35"/>
        <v/>
      </c>
    </row>
    <row r="487" spans="1:19" x14ac:dyDescent="0.3">
      <c r="A487" s="23" t="s">
        <v>1312</v>
      </c>
      <c r="B487" s="23" t="s">
        <v>1313</v>
      </c>
      <c r="C487" s="24" t="s">
        <v>23</v>
      </c>
      <c r="D487" s="24" t="s">
        <v>23</v>
      </c>
      <c r="E487" s="24" t="s">
        <v>23</v>
      </c>
      <c r="F487" s="24" t="s">
        <v>23</v>
      </c>
      <c r="G487" s="24" t="s">
        <v>23</v>
      </c>
      <c r="H487" s="24">
        <v>15.8</v>
      </c>
      <c r="I487" s="24">
        <v>86.95</v>
      </c>
      <c r="J487" s="25">
        <v>0</v>
      </c>
      <c r="K487" s="25">
        <v>0</v>
      </c>
      <c r="L487" s="25">
        <v>0</v>
      </c>
      <c r="M487" s="18">
        <f t="shared" si="37"/>
        <v>280</v>
      </c>
      <c r="N487" s="19">
        <f t="shared" si="38"/>
        <v>45575</v>
      </c>
      <c r="O487" s="18" t="b">
        <f t="shared" si="36"/>
        <v>0</v>
      </c>
      <c r="P487" s="43" t="str">
        <f>IF(O487,swap_curve!$B$19,"")</f>
        <v/>
      </c>
      <c r="Q487" t="str">
        <f t="shared" si="39"/>
        <v/>
      </c>
      <c r="R487" t="str" cm="1">
        <f t="array" ref="R487">IF(O487,BSCall(swap_curve!$B$20,imvol!M487,imvol!P487,imvol!Q487,YEARFRAC(swap_curve!$C$1,imvol!N487)),"")</f>
        <v/>
      </c>
      <c r="S487" s="20" t="str">
        <f t="shared" si="35"/>
        <v/>
      </c>
    </row>
    <row r="488" spans="1:19" x14ac:dyDescent="0.3">
      <c r="A488" s="23" t="s">
        <v>1314</v>
      </c>
      <c r="B488" s="23" t="s">
        <v>1315</v>
      </c>
      <c r="C488" s="24" t="s">
        <v>23</v>
      </c>
      <c r="D488" s="24" t="s">
        <v>23</v>
      </c>
      <c r="E488" s="24" t="s">
        <v>23</v>
      </c>
      <c r="F488" s="24" t="s">
        <v>23</v>
      </c>
      <c r="G488" s="24" t="s">
        <v>23</v>
      </c>
      <c r="H488" s="24">
        <v>15.8</v>
      </c>
      <c r="I488" s="24">
        <v>82.05</v>
      </c>
      <c r="J488" s="25">
        <v>0</v>
      </c>
      <c r="K488" s="25">
        <v>0</v>
      </c>
      <c r="L488" s="25">
        <v>0</v>
      </c>
      <c r="M488" s="18">
        <f t="shared" si="37"/>
        <v>285</v>
      </c>
      <c r="N488" s="19">
        <f t="shared" si="38"/>
        <v>45575</v>
      </c>
      <c r="O488" s="18" t="b">
        <f t="shared" si="36"/>
        <v>0</v>
      </c>
      <c r="P488" s="43" t="str">
        <f>IF(O488,swap_curve!$B$19,"")</f>
        <v/>
      </c>
      <c r="Q488" t="str">
        <f t="shared" si="39"/>
        <v/>
      </c>
      <c r="R488" t="str" cm="1">
        <f t="array" ref="R488">IF(O488,BSCall(swap_curve!$B$20,imvol!M488,imvol!P488,imvol!Q488,YEARFRAC(swap_curve!$C$1,imvol!N488)),"")</f>
        <v/>
      </c>
      <c r="S488" s="20" t="str">
        <f t="shared" si="35"/>
        <v/>
      </c>
    </row>
    <row r="489" spans="1:19" x14ac:dyDescent="0.3">
      <c r="A489" s="23" t="s">
        <v>1316</v>
      </c>
      <c r="B489" s="23" t="s">
        <v>1317</v>
      </c>
      <c r="C489" s="24" t="s">
        <v>23</v>
      </c>
      <c r="D489" s="24" t="s">
        <v>23</v>
      </c>
      <c r="E489" s="24" t="s">
        <v>23</v>
      </c>
      <c r="F489" s="24" t="s">
        <v>23</v>
      </c>
      <c r="G489" s="24" t="s">
        <v>23</v>
      </c>
      <c r="H489" s="24">
        <v>15.8</v>
      </c>
      <c r="I489" s="24">
        <v>77.2</v>
      </c>
      <c r="J489" s="25">
        <v>0</v>
      </c>
      <c r="K489" s="25">
        <v>0</v>
      </c>
      <c r="L489" s="25">
        <v>0</v>
      </c>
      <c r="M489" s="18">
        <f t="shared" si="37"/>
        <v>290</v>
      </c>
      <c r="N489" s="19">
        <f t="shared" si="38"/>
        <v>45575</v>
      </c>
      <c r="O489" s="18" t="b">
        <f t="shared" si="36"/>
        <v>0</v>
      </c>
      <c r="P489" s="43" t="str">
        <f>IF(O489,swap_curve!$B$19,"")</f>
        <v/>
      </c>
      <c r="Q489" t="str">
        <f t="shared" si="39"/>
        <v/>
      </c>
      <c r="R489" t="str" cm="1">
        <f t="array" ref="R489">IF(O489,BSCall(swap_curve!$B$20,imvol!M489,imvol!P489,imvol!Q489,YEARFRAC(swap_curve!$C$1,imvol!N489)),"")</f>
        <v/>
      </c>
      <c r="S489" s="20" t="str">
        <f t="shared" si="35"/>
        <v/>
      </c>
    </row>
    <row r="490" spans="1:19" x14ac:dyDescent="0.3">
      <c r="A490" s="23" t="s">
        <v>1318</v>
      </c>
      <c r="B490" s="23" t="s">
        <v>1319</v>
      </c>
      <c r="C490" s="24" t="s">
        <v>23</v>
      </c>
      <c r="D490" s="24" t="s">
        <v>23</v>
      </c>
      <c r="E490" s="24" t="s">
        <v>23</v>
      </c>
      <c r="F490" s="24" t="s">
        <v>23</v>
      </c>
      <c r="G490" s="24" t="s">
        <v>23</v>
      </c>
      <c r="H490" s="24">
        <v>15.8</v>
      </c>
      <c r="I490" s="24">
        <v>72.349999999999994</v>
      </c>
      <c r="J490" s="25">
        <v>0</v>
      </c>
      <c r="K490" s="25">
        <v>0</v>
      </c>
      <c r="L490" s="25">
        <v>0</v>
      </c>
      <c r="M490" s="18">
        <f t="shared" si="37"/>
        <v>295</v>
      </c>
      <c r="N490" s="19">
        <f t="shared" si="38"/>
        <v>45575</v>
      </c>
      <c r="O490" s="18" t="b">
        <f t="shared" si="36"/>
        <v>0</v>
      </c>
      <c r="P490" s="43" t="str">
        <f>IF(O490,swap_curve!$B$19,"")</f>
        <v/>
      </c>
      <c r="Q490" t="str">
        <f t="shared" si="39"/>
        <v/>
      </c>
      <c r="R490" t="str" cm="1">
        <f t="array" ref="R490">IF(O490,BSCall(swap_curve!$B$20,imvol!M490,imvol!P490,imvol!Q490,YEARFRAC(swap_curve!$C$1,imvol!N490)),"")</f>
        <v/>
      </c>
      <c r="S490" s="20" t="str">
        <f t="shared" si="35"/>
        <v/>
      </c>
    </row>
    <row r="491" spans="1:19" x14ac:dyDescent="0.3">
      <c r="A491" s="23" t="s">
        <v>1320</v>
      </c>
      <c r="B491" s="23" t="s">
        <v>1321</v>
      </c>
      <c r="C491" s="24" t="s">
        <v>23</v>
      </c>
      <c r="D491" s="24" t="s">
        <v>23</v>
      </c>
      <c r="E491" s="24" t="s">
        <v>23</v>
      </c>
      <c r="F491" s="24" t="s">
        <v>23</v>
      </c>
      <c r="G491" s="24" t="s">
        <v>23</v>
      </c>
      <c r="H491" s="24">
        <v>15.8</v>
      </c>
      <c r="I491" s="24">
        <v>67.55</v>
      </c>
      <c r="J491" s="25">
        <v>0</v>
      </c>
      <c r="K491" s="25">
        <v>0</v>
      </c>
      <c r="L491" s="25">
        <v>0</v>
      </c>
      <c r="M491" s="18">
        <f t="shared" si="37"/>
        <v>300</v>
      </c>
      <c r="N491" s="19">
        <f t="shared" si="38"/>
        <v>45575</v>
      </c>
      <c r="O491" s="18" t="b">
        <f t="shared" si="36"/>
        <v>0</v>
      </c>
      <c r="P491" s="43" t="str">
        <f>IF(O491,swap_curve!$B$19,"")</f>
        <v/>
      </c>
      <c r="Q491" t="str">
        <f t="shared" si="39"/>
        <v/>
      </c>
      <c r="R491" t="str" cm="1">
        <f t="array" ref="R491">IF(O491,BSCall(swap_curve!$B$20,imvol!M491,imvol!P491,imvol!Q491,YEARFRAC(swap_curve!$C$1,imvol!N491)),"")</f>
        <v/>
      </c>
      <c r="S491" s="20" t="str">
        <f t="shared" si="35"/>
        <v/>
      </c>
    </row>
    <row r="492" spans="1:19" x14ac:dyDescent="0.3">
      <c r="A492" s="23" t="s">
        <v>1322</v>
      </c>
      <c r="B492" s="23" t="s">
        <v>1323</v>
      </c>
      <c r="C492" s="24" t="s">
        <v>23</v>
      </c>
      <c r="D492" s="24" t="s">
        <v>23</v>
      </c>
      <c r="E492" s="24" t="s">
        <v>23</v>
      </c>
      <c r="F492" s="24" t="s">
        <v>23</v>
      </c>
      <c r="G492" s="24" t="s">
        <v>23</v>
      </c>
      <c r="H492" s="24">
        <v>15.8</v>
      </c>
      <c r="I492" s="24">
        <v>62.8</v>
      </c>
      <c r="J492" s="25">
        <v>0</v>
      </c>
      <c r="K492" s="25">
        <v>0</v>
      </c>
      <c r="L492" s="25">
        <v>0</v>
      </c>
      <c r="M492" s="18">
        <f t="shared" si="37"/>
        <v>305</v>
      </c>
      <c r="N492" s="19">
        <f t="shared" si="38"/>
        <v>45575</v>
      </c>
      <c r="O492" s="18" t="b">
        <f t="shared" si="36"/>
        <v>0</v>
      </c>
      <c r="P492" s="43" t="str">
        <f>IF(O492,swap_curve!$B$19,"")</f>
        <v/>
      </c>
      <c r="Q492" t="str">
        <f t="shared" si="39"/>
        <v/>
      </c>
      <c r="R492" t="str" cm="1">
        <f t="array" ref="R492">IF(O492,BSCall(swap_curve!$B$20,imvol!M492,imvol!P492,imvol!Q492,YEARFRAC(swap_curve!$C$1,imvol!N492)),"")</f>
        <v/>
      </c>
      <c r="S492" s="20" t="str">
        <f t="shared" si="35"/>
        <v/>
      </c>
    </row>
    <row r="493" spans="1:19" x14ac:dyDescent="0.3">
      <c r="A493" s="23" t="s">
        <v>1324</v>
      </c>
      <c r="B493" s="23" t="s">
        <v>1325</v>
      </c>
      <c r="C493" s="24" t="s">
        <v>23</v>
      </c>
      <c r="D493" s="24" t="s">
        <v>23</v>
      </c>
      <c r="E493" s="24" t="s">
        <v>23</v>
      </c>
      <c r="F493" s="24" t="s">
        <v>23</v>
      </c>
      <c r="G493" s="24" t="s">
        <v>23</v>
      </c>
      <c r="H493" s="24">
        <v>15.8</v>
      </c>
      <c r="I493" s="24">
        <v>58.15</v>
      </c>
      <c r="J493" s="25">
        <v>0</v>
      </c>
      <c r="K493" s="25">
        <v>0</v>
      </c>
      <c r="L493" s="25">
        <v>0</v>
      </c>
      <c r="M493" s="18">
        <f t="shared" si="37"/>
        <v>310</v>
      </c>
      <c r="N493" s="19">
        <f t="shared" si="38"/>
        <v>45575</v>
      </c>
      <c r="O493" s="18" t="b">
        <f t="shared" si="36"/>
        <v>0</v>
      </c>
      <c r="P493" s="43" t="str">
        <f>IF(O493,swap_curve!$B$19,"")</f>
        <v/>
      </c>
      <c r="Q493" t="str">
        <f t="shared" si="39"/>
        <v/>
      </c>
      <c r="R493" t="str" cm="1">
        <f t="array" ref="R493">IF(O493,BSCall(swap_curve!$B$20,imvol!M493,imvol!P493,imvol!Q493,YEARFRAC(swap_curve!$C$1,imvol!N493)),"")</f>
        <v/>
      </c>
      <c r="S493" s="20" t="str">
        <f t="shared" si="35"/>
        <v/>
      </c>
    </row>
    <row r="494" spans="1:19" x14ac:dyDescent="0.3">
      <c r="A494" s="23" t="s">
        <v>1326</v>
      </c>
      <c r="B494" s="23" t="s">
        <v>1327</v>
      </c>
      <c r="C494" s="24" t="s">
        <v>23</v>
      </c>
      <c r="D494" s="24" t="s">
        <v>23</v>
      </c>
      <c r="E494" s="24" t="s">
        <v>23</v>
      </c>
      <c r="F494" s="24" t="s">
        <v>23</v>
      </c>
      <c r="G494" s="24" t="s">
        <v>23</v>
      </c>
      <c r="H494" s="24">
        <v>15.8</v>
      </c>
      <c r="I494" s="24">
        <v>53.55</v>
      </c>
      <c r="J494" s="25">
        <v>0</v>
      </c>
      <c r="K494" s="25">
        <v>0</v>
      </c>
      <c r="L494" s="25">
        <v>0</v>
      </c>
      <c r="M494" s="18">
        <f t="shared" si="37"/>
        <v>315</v>
      </c>
      <c r="N494" s="19">
        <f t="shared" si="38"/>
        <v>45575</v>
      </c>
      <c r="O494" s="18" t="b">
        <f t="shared" si="36"/>
        <v>0</v>
      </c>
      <c r="P494" s="43" t="str">
        <f>IF(O494,swap_curve!$B$19,"")</f>
        <v/>
      </c>
      <c r="Q494" t="str">
        <f t="shared" si="39"/>
        <v/>
      </c>
      <c r="R494" t="str" cm="1">
        <f t="array" ref="R494">IF(O494,BSCall(swap_curve!$B$20,imvol!M494,imvol!P494,imvol!Q494,YEARFRAC(swap_curve!$C$1,imvol!N494)),"")</f>
        <v/>
      </c>
      <c r="S494" s="20" t="str">
        <f t="shared" si="35"/>
        <v/>
      </c>
    </row>
    <row r="495" spans="1:19" x14ac:dyDescent="0.3">
      <c r="A495" s="23" t="s">
        <v>1328</v>
      </c>
      <c r="B495" s="23" t="s">
        <v>1329</v>
      </c>
      <c r="C495" s="24" t="s">
        <v>23</v>
      </c>
      <c r="D495" s="24" t="s">
        <v>23</v>
      </c>
      <c r="E495" s="24" t="s">
        <v>23</v>
      </c>
      <c r="F495" s="24" t="s">
        <v>23</v>
      </c>
      <c r="G495" s="24" t="s">
        <v>23</v>
      </c>
      <c r="H495" s="24">
        <v>15.8</v>
      </c>
      <c r="I495" s="24">
        <v>49.1</v>
      </c>
      <c r="J495" s="25">
        <v>0</v>
      </c>
      <c r="K495" s="25">
        <v>0</v>
      </c>
      <c r="L495" s="25">
        <v>0</v>
      </c>
      <c r="M495" s="18">
        <f t="shared" si="37"/>
        <v>320</v>
      </c>
      <c r="N495" s="19">
        <f t="shared" si="38"/>
        <v>45575</v>
      </c>
      <c r="O495" s="18" t="b">
        <f t="shared" si="36"/>
        <v>0</v>
      </c>
      <c r="P495" s="43" t="str">
        <f>IF(O495,swap_curve!$B$19,"")</f>
        <v/>
      </c>
      <c r="Q495" t="str">
        <f t="shared" si="39"/>
        <v/>
      </c>
      <c r="R495" t="str" cm="1">
        <f t="array" ref="R495">IF(O495,BSCall(swap_curve!$B$20,imvol!M495,imvol!P495,imvol!Q495,YEARFRAC(swap_curve!$C$1,imvol!N495)),"")</f>
        <v/>
      </c>
      <c r="S495" s="20" t="str">
        <f t="shared" si="35"/>
        <v/>
      </c>
    </row>
    <row r="496" spans="1:19" x14ac:dyDescent="0.3">
      <c r="A496" s="23" t="s">
        <v>1330</v>
      </c>
      <c r="B496" s="23" t="s">
        <v>1331</v>
      </c>
      <c r="C496" s="24" t="s">
        <v>23</v>
      </c>
      <c r="D496" s="24" t="s">
        <v>23</v>
      </c>
      <c r="E496" s="24" t="s">
        <v>23</v>
      </c>
      <c r="F496" s="24" t="s">
        <v>23</v>
      </c>
      <c r="G496" s="24" t="s">
        <v>23</v>
      </c>
      <c r="H496" s="24">
        <v>15.8</v>
      </c>
      <c r="I496" s="24">
        <v>44.7</v>
      </c>
      <c r="J496" s="25">
        <v>0</v>
      </c>
      <c r="K496" s="25">
        <v>0</v>
      </c>
      <c r="L496" s="25">
        <v>0</v>
      </c>
      <c r="M496" s="18">
        <f t="shared" si="37"/>
        <v>325</v>
      </c>
      <c r="N496" s="19">
        <f t="shared" si="38"/>
        <v>45575</v>
      </c>
      <c r="O496" s="18" t="b">
        <f t="shared" si="36"/>
        <v>0</v>
      </c>
      <c r="P496" s="43" t="str">
        <f>IF(O496,swap_curve!$B$19,"")</f>
        <v/>
      </c>
      <c r="Q496" t="str">
        <f t="shared" si="39"/>
        <v/>
      </c>
      <c r="R496" t="str" cm="1">
        <f t="array" ref="R496">IF(O496,BSCall(swap_curve!$B$20,imvol!M496,imvol!P496,imvol!Q496,YEARFRAC(swap_curve!$C$1,imvol!N496)),"")</f>
        <v/>
      </c>
      <c r="S496" s="20" t="str">
        <f t="shared" si="35"/>
        <v/>
      </c>
    </row>
    <row r="497" spans="1:19" x14ac:dyDescent="0.3">
      <c r="A497" s="23" t="s">
        <v>1332</v>
      </c>
      <c r="B497" s="23" t="s">
        <v>1333</v>
      </c>
      <c r="C497" s="24" t="s">
        <v>23</v>
      </c>
      <c r="D497" s="24" t="s">
        <v>23</v>
      </c>
      <c r="E497" s="24" t="s">
        <v>23</v>
      </c>
      <c r="F497" s="24" t="s">
        <v>23</v>
      </c>
      <c r="G497" s="24" t="s">
        <v>23</v>
      </c>
      <c r="H497" s="24">
        <v>15.8</v>
      </c>
      <c r="I497" s="24">
        <v>40.549999999999997</v>
      </c>
      <c r="J497" s="25">
        <v>0</v>
      </c>
      <c r="K497" s="25">
        <v>0</v>
      </c>
      <c r="L497" s="25">
        <v>0</v>
      </c>
      <c r="M497" s="18">
        <f t="shared" si="37"/>
        <v>330</v>
      </c>
      <c r="N497" s="19">
        <f t="shared" si="38"/>
        <v>45575</v>
      </c>
      <c r="O497" s="18" t="b">
        <f t="shared" si="36"/>
        <v>0</v>
      </c>
      <c r="P497" s="43" t="str">
        <f>IF(O497,swap_curve!$B$19,"")</f>
        <v/>
      </c>
      <c r="Q497" t="str">
        <f t="shared" si="39"/>
        <v/>
      </c>
      <c r="R497" t="str" cm="1">
        <f t="array" ref="R497">IF(O497,BSCall(swap_curve!$B$20,imvol!M497,imvol!P497,imvol!Q497,YEARFRAC(swap_curve!$C$1,imvol!N497)),"")</f>
        <v/>
      </c>
      <c r="S497" s="20" t="str">
        <f t="shared" si="35"/>
        <v/>
      </c>
    </row>
    <row r="498" spans="1:19" x14ac:dyDescent="0.3">
      <c r="A498" s="23" t="s">
        <v>1334</v>
      </c>
      <c r="B498" s="23" t="s">
        <v>1335</v>
      </c>
      <c r="C498" s="24" t="s">
        <v>23</v>
      </c>
      <c r="D498" s="24" t="s">
        <v>23</v>
      </c>
      <c r="E498" s="24" t="s">
        <v>23</v>
      </c>
      <c r="F498" s="24" t="s">
        <v>23</v>
      </c>
      <c r="G498" s="24" t="s">
        <v>23</v>
      </c>
      <c r="H498" s="24">
        <v>15.8</v>
      </c>
      <c r="I498" s="24">
        <v>36.450000000000003</v>
      </c>
      <c r="J498" s="25">
        <v>0</v>
      </c>
      <c r="K498" s="25">
        <v>0</v>
      </c>
      <c r="L498" s="25">
        <v>0</v>
      </c>
      <c r="M498" s="18">
        <f t="shared" si="37"/>
        <v>335</v>
      </c>
      <c r="N498" s="19">
        <f t="shared" si="38"/>
        <v>45575</v>
      </c>
      <c r="O498" s="18" t="b">
        <f t="shared" si="36"/>
        <v>0</v>
      </c>
      <c r="P498" s="43" t="str">
        <f>IF(O498,swap_curve!$B$19,"")</f>
        <v/>
      </c>
      <c r="Q498" t="str">
        <f t="shared" si="39"/>
        <v/>
      </c>
      <c r="R498" t="str" cm="1">
        <f t="array" ref="R498">IF(O498,BSCall(swap_curve!$B$20,imvol!M498,imvol!P498,imvol!Q498,YEARFRAC(swap_curve!$C$1,imvol!N498)),"")</f>
        <v/>
      </c>
      <c r="S498" s="20" t="str">
        <f t="shared" si="35"/>
        <v/>
      </c>
    </row>
    <row r="499" spans="1:19" x14ac:dyDescent="0.3">
      <c r="A499" s="23" t="s">
        <v>1336</v>
      </c>
      <c r="B499" s="23" t="s">
        <v>1337</v>
      </c>
      <c r="C499" s="24" t="s">
        <v>23</v>
      </c>
      <c r="D499" s="24" t="s">
        <v>23</v>
      </c>
      <c r="E499" s="24" t="s">
        <v>23</v>
      </c>
      <c r="F499" s="24" t="s">
        <v>23</v>
      </c>
      <c r="G499" s="24" t="s">
        <v>23</v>
      </c>
      <c r="H499" s="24">
        <v>15.8</v>
      </c>
      <c r="I499" s="24">
        <v>32.700000000000003</v>
      </c>
      <c r="J499" s="25">
        <v>0</v>
      </c>
      <c r="K499" s="25">
        <v>0</v>
      </c>
      <c r="L499" s="25">
        <v>0</v>
      </c>
      <c r="M499" s="18">
        <f t="shared" si="37"/>
        <v>340</v>
      </c>
      <c r="N499" s="19">
        <f t="shared" si="38"/>
        <v>45575</v>
      </c>
      <c r="O499" s="18" t="b">
        <f t="shared" si="36"/>
        <v>0</v>
      </c>
      <c r="P499" s="43" t="str">
        <f>IF(O499,swap_curve!$B$19,"")</f>
        <v/>
      </c>
      <c r="Q499" t="str">
        <f t="shared" si="39"/>
        <v/>
      </c>
      <c r="R499" t="str" cm="1">
        <f t="array" ref="R499">IF(O499,BSCall(swap_curve!$B$20,imvol!M499,imvol!P499,imvol!Q499,YEARFRAC(swap_curve!$C$1,imvol!N499)),"")</f>
        <v/>
      </c>
      <c r="S499" s="20" t="str">
        <f t="shared" si="35"/>
        <v/>
      </c>
    </row>
    <row r="500" spans="1:19" x14ac:dyDescent="0.3">
      <c r="A500" s="23" t="s">
        <v>1338</v>
      </c>
      <c r="B500" s="23" t="s">
        <v>1339</v>
      </c>
      <c r="C500" s="24" t="s">
        <v>23</v>
      </c>
      <c r="D500" s="24" t="s">
        <v>23</v>
      </c>
      <c r="E500" s="24" t="s">
        <v>23</v>
      </c>
      <c r="F500" s="24" t="s">
        <v>23</v>
      </c>
      <c r="G500" s="24" t="s">
        <v>23</v>
      </c>
      <c r="H500" s="24">
        <v>15.8</v>
      </c>
      <c r="I500" s="24">
        <v>29</v>
      </c>
      <c r="J500" s="25">
        <v>0</v>
      </c>
      <c r="K500" s="25">
        <v>0</v>
      </c>
      <c r="L500" s="25">
        <v>0</v>
      </c>
      <c r="M500" s="18">
        <f t="shared" si="37"/>
        <v>345</v>
      </c>
      <c r="N500" s="19">
        <f t="shared" si="38"/>
        <v>45575</v>
      </c>
      <c r="O500" s="18" t="b">
        <f t="shared" si="36"/>
        <v>0</v>
      </c>
      <c r="P500" s="43" t="str">
        <f>IF(O500,swap_curve!$B$19,"")</f>
        <v/>
      </c>
      <c r="Q500" t="str">
        <f t="shared" si="39"/>
        <v/>
      </c>
      <c r="R500" t="str" cm="1">
        <f t="array" ref="R500">IF(O500,BSCall(swap_curve!$B$20,imvol!M500,imvol!P500,imvol!Q500,YEARFRAC(swap_curve!$C$1,imvol!N500)),"")</f>
        <v/>
      </c>
      <c r="S500" s="20" t="str">
        <f t="shared" si="35"/>
        <v/>
      </c>
    </row>
    <row r="501" spans="1:19" x14ac:dyDescent="0.3">
      <c r="A501" s="23" t="s">
        <v>1340</v>
      </c>
      <c r="B501" s="23" t="s">
        <v>1341</v>
      </c>
      <c r="C501" s="24" t="s">
        <v>23</v>
      </c>
      <c r="D501" s="24" t="s">
        <v>23</v>
      </c>
      <c r="E501" s="24" t="s">
        <v>23</v>
      </c>
      <c r="F501" s="24" t="s">
        <v>23</v>
      </c>
      <c r="G501" s="24" t="s">
        <v>23</v>
      </c>
      <c r="H501" s="24">
        <v>15.8</v>
      </c>
      <c r="I501" s="24">
        <v>25.7</v>
      </c>
      <c r="J501" s="25">
        <v>0</v>
      </c>
      <c r="K501" s="25">
        <v>0</v>
      </c>
      <c r="L501" s="25">
        <v>0</v>
      </c>
      <c r="M501" s="18">
        <f t="shared" si="37"/>
        <v>350</v>
      </c>
      <c r="N501" s="19">
        <f t="shared" si="38"/>
        <v>45575</v>
      </c>
      <c r="O501" s="18" t="b">
        <f t="shared" si="36"/>
        <v>0</v>
      </c>
      <c r="P501" s="43" t="str">
        <f>IF(O501,swap_curve!$B$19,"")</f>
        <v/>
      </c>
      <c r="Q501" t="str">
        <f t="shared" si="39"/>
        <v/>
      </c>
      <c r="R501" t="str" cm="1">
        <f t="array" ref="R501">IF(O501,BSCall(swap_curve!$B$20,imvol!M501,imvol!P501,imvol!Q501,YEARFRAC(swap_curve!$C$1,imvol!N501)),"")</f>
        <v/>
      </c>
      <c r="S501" s="20" t="str">
        <f t="shared" si="35"/>
        <v/>
      </c>
    </row>
    <row r="502" spans="1:19" x14ac:dyDescent="0.3">
      <c r="A502" s="23" t="s">
        <v>1342</v>
      </c>
      <c r="B502" s="23" t="s">
        <v>1343</v>
      </c>
      <c r="C502" s="24" t="s">
        <v>23</v>
      </c>
      <c r="D502" s="24" t="s">
        <v>23</v>
      </c>
      <c r="E502" s="24" t="s">
        <v>23</v>
      </c>
      <c r="F502" s="24" t="s">
        <v>23</v>
      </c>
      <c r="G502" s="24" t="s">
        <v>23</v>
      </c>
      <c r="H502" s="24">
        <v>15.8</v>
      </c>
      <c r="I502" s="24">
        <v>22.5</v>
      </c>
      <c r="J502" s="25">
        <v>0</v>
      </c>
      <c r="K502" s="25">
        <v>0</v>
      </c>
      <c r="L502" s="25">
        <v>0</v>
      </c>
      <c r="M502" s="18">
        <f t="shared" si="37"/>
        <v>355</v>
      </c>
      <c r="N502" s="19">
        <f t="shared" si="38"/>
        <v>45575</v>
      </c>
      <c r="O502" s="18" t="b">
        <f t="shared" si="36"/>
        <v>0</v>
      </c>
      <c r="P502" s="43" t="str">
        <f>IF(O502,swap_curve!$B$19,"")</f>
        <v/>
      </c>
      <c r="Q502" t="str">
        <f t="shared" si="39"/>
        <v/>
      </c>
      <c r="R502" t="str" cm="1">
        <f t="array" ref="R502">IF(O502,BSCall(swap_curve!$B$20,imvol!M502,imvol!P502,imvol!Q502,YEARFRAC(swap_curve!$C$1,imvol!N502)),"")</f>
        <v/>
      </c>
      <c r="S502" s="20" t="str">
        <f t="shared" si="35"/>
        <v/>
      </c>
    </row>
    <row r="503" spans="1:19" x14ac:dyDescent="0.3">
      <c r="A503" s="23" t="s">
        <v>1344</v>
      </c>
      <c r="B503" s="23" t="s">
        <v>1345</v>
      </c>
      <c r="C503" s="24" t="s">
        <v>23</v>
      </c>
      <c r="D503" s="24" t="s">
        <v>23</v>
      </c>
      <c r="E503" s="24" t="s">
        <v>23</v>
      </c>
      <c r="F503" s="24" t="s">
        <v>23</v>
      </c>
      <c r="G503" s="24" t="s">
        <v>23</v>
      </c>
      <c r="H503" s="24">
        <v>15.8</v>
      </c>
      <c r="I503" s="24">
        <v>19.600000000000001</v>
      </c>
      <c r="J503" s="25">
        <v>0</v>
      </c>
      <c r="K503" s="25">
        <v>0</v>
      </c>
      <c r="L503" s="25">
        <v>0</v>
      </c>
      <c r="M503" s="18">
        <f t="shared" si="37"/>
        <v>360</v>
      </c>
      <c r="N503" s="19">
        <f t="shared" si="38"/>
        <v>45575</v>
      </c>
      <c r="O503" s="18" t="b">
        <f t="shared" si="36"/>
        <v>0</v>
      </c>
      <c r="P503" s="43" t="str">
        <f>IF(O503,swap_curve!$B$19,"")</f>
        <v/>
      </c>
      <c r="Q503" t="str">
        <f t="shared" si="39"/>
        <v/>
      </c>
      <c r="R503" t="str" cm="1">
        <f t="array" ref="R503">IF(O503,BSCall(swap_curve!$B$20,imvol!M503,imvol!P503,imvol!Q503,YEARFRAC(swap_curve!$C$1,imvol!N503)),"")</f>
        <v/>
      </c>
      <c r="S503" s="20" t="str">
        <f t="shared" si="35"/>
        <v/>
      </c>
    </row>
    <row r="504" spans="1:19" x14ac:dyDescent="0.3">
      <c r="A504" s="23" t="s">
        <v>1346</v>
      </c>
      <c r="B504" s="23" t="s">
        <v>1347</v>
      </c>
      <c r="C504" s="24" t="s">
        <v>23</v>
      </c>
      <c r="D504" s="24" t="s">
        <v>23</v>
      </c>
      <c r="E504" s="24" t="s">
        <v>23</v>
      </c>
      <c r="F504" s="24" t="s">
        <v>23</v>
      </c>
      <c r="G504" s="24" t="s">
        <v>23</v>
      </c>
      <c r="H504" s="24">
        <v>15.8</v>
      </c>
      <c r="I504" s="24">
        <v>16.95</v>
      </c>
      <c r="J504" s="25">
        <v>0</v>
      </c>
      <c r="K504" s="25">
        <v>0</v>
      </c>
      <c r="L504" s="25">
        <v>0</v>
      </c>
      <c r="M504" s="18">
        <f t="shared" si="37"/>
        <v>365</v>
      </c>
      <c r="N504" s="19">
        <f t="shared" si="38"/>
        <v>45575</v>
      </c>
      <c r="O504" s="18" t="b">
        <f t="shared" si="36"/>
        <v>0</v>
      </c>
      <c r="P504" s="43" t="str">
        <f>IF(O504,swap_curve!$B$19,"")</f>
        <v/>
      </c>
      <c r="Q504" t="str">
        <f t="shared" si="39"/>
        <v/>
      </c>
      <c r="R504" t="str" cm="1">
        <f t="array" ref="R504">IF(O504,BSCall(swap_curve!$B$20,imvol!M504,imvol!P504,imvol!Q504,YEARFRAC(swap_curve!$C$1,imvol!N504)),"")</f>
        <v/>
      </c>
      <c r="S504" s="20" t="str">
        <f t="shared" si="35"/>
        <v/>
      </c>
    </row>
    <row r="505" spans="1:19" x14ac:dyDescent="0.3">
      <c r="A505" s="23" t="s">
        <v>1348</v>
      </c>
      <c r="B505" s="23" t="s">
        <v>1349</v>
      </c>
      <c r="C505" s="24" t="s">
        <v>23</v>
      </c>
      <c r="D505" s="24" t="s">
        <v>23</v>
      </c>
      <c r="E505" s="24" t="s">
        <v>23</v>
      </c>
      <c r="F505" s="24" t="s">
        <v>23</v>
      </c>
      <c r="G505" s="24" t="s">
        <v>23</v>
      </c>
      <c r="H505" s="24">
        <v>15.8</v>
      </c>
      <c r="I505" s="24">
        <v>14.55</v>
      </c>
      <c r="J505" s="25">
        <v>0</v>
      </c>
      <c r="K505" s="25">
        <v>0</v>
      </c>
      <c r="L505" s="25">
        <v>0</v>
      </c>
      <c r="M505" s="18">
        <f t="shared" si="37"/>
        <v>370</v>
      </c>
      <c r="N505" s="19">
        <f t="shared" si="38"/>
        <v>45575</v>
      </c>
      <c r="O505" s="18" t="b">
        <f t="shared" si="36"/>
        <v>0</v>
      </c>
      <c r="P505" s="43" t="str">
        <f>IF(O505,swap_curve!$B$19,"")</f>
        <v/>
      </c>
      <c r="Q505" t="str">
        <f t="shared" si="39"/>
        <v/>
      </c>
      <c r="R505" t="str" cm="1">
        <f t="array" ref="R505">IF(O505,BSCall(swap_curve!$B$20,imvol!M505,imvol!P505,imvol!Q505,YEARFRAC(swap_curve!$C$1,imvol!N505)),"")</f>
        <v/>
      </c>
      <c r="S505" s="20" t="str">
        <f t="shared" si="35"/>
        <v/>
      </c>
    </row>
    <row r="506" spans="1:19" x14ac:dyDescent="0.3">
      <c r="A506" s="23" t="s">
        <v>1350</v>
      </c>
      <c r="B506" s="23" t="s">
        <v>1351</v>
      </c>
      <c r="C506" s="24" t="s">
        <v>23</v>
      </c>
      <c r="D506" s="24" t="s">
        <v>23</v>
      </c>
      <c r="E506" s="24" t="s">
        <v>23</v>
      </c>
      <c r="F506" s="24" t="s">
        <v>23</v>
      </c>
      <c r="G506" s="24" t="s">
        <v>23</v>
      </c>
      <c r="H506" s="24">
        <v>15.8</v>
      </c>
      <c r="I506" s="24">
        <v>12.45</v>
      </c>
      <c r="J506" s="25">
        <v>0</v>
      </c>
      <c r="K506" s="25">
        <v>0</v>
      </c>
      <c r="L506" s="25">
        <v>0</v>
      </c>
      <c r="M506" s="18">
        <f t="shared" si="37"/>
        <v>375</v>
      </c>
      <c r="N506" s="19">
        <f t="shared" si="38"/>
        <v>45575</v>
      </c>
      <c r="O506" s="18" t="b">
        <f t="shared" si="36"/>
        <v>0</v>
      </c>
      <c r="P506" s="43" t="str">
        <f>IF(O506,swap_curve!$B$19,"")</f>
        <v/>
      </c>
      <c r="Q506" t="str">
        <f t="shared" si="39"/>
        <v/>
      </c>
      <c r="R506" t="str" cm="1">
        <f t="array" ref="R506">IF(O506,BSCall(swap_curve!$B$20,imvol!M506,imvol!P506,imvol!Q506,YEARFRAC(swap_curve!$C$1,imvol!N506)),"")</f>
        <v/>
      </c>
      <c r="S506" s="20" t="str">
        <f t="shared" si="35"/>
        <v/>
      </c>
    </row>
    <row r="507" spans="1:19" x14ac:dyDescent="0.3">
      <c r="A507" s="23" t="s">
        <v>1352</v>
      </c>
      <c r="B507" s="23" t="s">
        <v>1353</v>
      </c>
      <c r="C507" s="24" t="s">
        <v>23</v>
      </c>
      <c r="D507" s="24" t="s">
        <v>23</v>
      </c>
      <c r="E507" s="24" t="s">
        <v>23</v>
      </c>
      <c r="F507" s="24" t="s">
        <v>23</v>
      </c>
      <c r="G507" s="24" t="s">
        <v>23</v>
      </c>
      <c r="H507" s="24">
        <v>15.8</v>
      </c>
      <c r="I507" s="24">
        <v>10.4</v>
      </c>
      <c r="J507" s="25">
        <v>0</v>
      </c>
      <c r="K507" s="25">
        <v>0</v>
      </c>
      <c r="L507" s="25">
        <v>0</v>
      </c>
      <c r="M507" s="18">
        <f t="shared" si="37"/>
        <v>380</v>
      </c>
      <c r="N507" s="19">
        <f t="shared" si="38"/>
        <v>45575</v>
      </c>
      <c r="O507" s="18" t="b">
        <f t="shared" si="36"/>
        <v>0</v>
      </c>
      <c r="P507" s="43" t="str">
        <f>IF(O507,swap_curve!$B$19,"")</f>
        <v/>
      </c>
      <c r="Q507" t="str">
        <f t="shared" si="39"/>
        <v/>
      </c>
      <c r="R507" t="str" cm="1">
        <f t="array" ref="R507">IF(O507,BSCall(swap_curve!$B$20,imvol!M507,imvol!P507,imvol!Q507,YEARFRAC(swap_curve!$C$1,imvol!N507)),"")</f>
        <v/>
      </c>
      <c r="S507" s="20" t="str">
        <f t="shared" si="35"/>
        <v/>
      </c>
    </row>
    <row r="508" spans="1:19" x14ac:dyDescent="0.3">
      <c r="A508" s="23" t="s">
        <v>1354</v>
      </c>
      <c r="B508" s="23" t="s">
        <v>1355</v>
      </c>
      <c r="C508" s="24" t="s">
        <v>23</v>
      </c>
      <c r="D508" s="24" t="s">
        <v>23</v>
      </c>
      <c r="E508" s="24" t="s">
        <v>23</v>
      </c>
      <c r="F508" s="24" t="s">
        <v>23</v>
      </c>
      <c r="G508" s="24" t="s">
        <v>23</v>
      </c>
      <c r="H508" s="24">
        <v>15.8</v>
      </c>
      <c r="I508" s="24">
        <v>8.85</v>
      </c>
      <c r="J508" s="25">
        <v>0</v>
      </c>
      <c r="K508" s="25">
        <v>0</v>
      </c>
      <c r="L508" s="25">
        <v>0</v>
      </c>
      <c r="M508" s="18">
        <f t="shared" si="37"/>
        <v>385</v>
      </c>
      <c r="N508" s="19">
        <f t="shared" si="38"/>
        <v>45575</v>
      </c>
      <c r="O508" s="18" t="b">
        <f t="shared" si="36"/>
        <v>0</v>
      </c>
      <c r="P508" s="43" t="str">
        <f>IF(O508,swap_curve!$B$19,"")</f>
        <v/>
      </c>
      <c r="Q508" t="str">
        <f t="shared" si="39"/>
        <v/>
      </c>
      <c r="R508" t="str" cm="1">
        <f t="array" ref="R508">IF(O508,BSCall(swap_curve!$B$20,imvol!M508,imvol!P508,imvol!Q508,YEARFRAC(swap_curve!$C$1,imvol!N508)),"")</f>
        <v/>
      </c>
      <c r="S508" s="20" t="str">
        <f t="shared" si="35"/>
        <v/>
      </c>
    </row>
    <row r="509" spans="1:19" x14ac:dyDescent="0.3">
      <c r="A509" s="23" t="s">
        <v>1356</v>
      </c>
      <c r="B509" s="23" t="s">
        <v>1357</v>
      </c>
      <c r="C509" s="24" t="s">
        <v>23</v>
      </c>
      <c r="D509" s="24" t="s">
        <v>23</v>
      </c>
      <c r="E509" s="24" t="s">
        <v>23</v>
      </c>
      <c r="F509" s="24" t="s">
        <v>23</v>
      </c>
      <c r="G509" s="24" t="s">
        <v>23</v>
      </c>
      <c r="H509" s="24">
        <v>15.8</v>
      </c>
      <c r="I509" s="24">
        <v>7.28</v>
      </c>
      <c r="J509" s="25">
        <v>0</v>
      </c>
      <c r="K509" s="25">
        <v>0</v>
      </c>
      <c r="L509" s="25">
        <v>2</v>
      </c>
      <c r="M509" s="18">
        <f t="shared" si="37"/>
        <v>390</v>
      </c>
      <c r="N509" s="19">
        <f t="shared" si="38"/>
        <v>45575</v>
      </c>
      <c r="O509" s="18" t="b">
        <f t="shared" si="36"/>
        <v>0</v>
      </c>
      <c r="P509" s="43" t="str">
        <f>IF(O509,swap_curve!$B$19,"")</f>
        <v/>
      </c>
      <c r="Q509" t="str">
        <f t="shared" si="39"/>
        <v/>
      </c>
      <c r="R509" t="str" cm="1">
        <f t="array" ref="R509">IF(O509,BSCall(swap_curve!$B$20,imvol!M509,imvol!P509,imvol!Q509,YEARFRAC(swap_curve!$C$1,imvol!N509)),"")</f>
        <v/>
      </c>
      <c r="S509" s="20" t="str">
        <f t="shared" si="35"/>
        <v/>
      </c>
    </row>
    <row r="510" spans="1:19" x14ac:dyDescent="0.3">
      <c r="A510" s="23" t="s">
        <v>1358</v>
      </c>
      <c r="B510" s="23" t="s">
        <v>1359</v>
      </c>
      <c r="C510" s="24" t="s">
        <v>23</v>
      </c>
      <c r="D510" s="24" t="s">
        <v>23</v>
      </c>
      <c r="E510" s="24" t="s">
        <v>23</v>
      </c>
      <c r="F510" s="24" t="s">
        <v>23</v>
      </c>
      <c r="G510" s="24" t="s">
        <v>23</v>
      </c>
      <c r="H510" s="24">
        <v>15.8</v>
      </c>
      <c r="I510" s="24">
        <v>6.09</v>
      </c>
      <c r="J510" s="25">
        <v>0</v>
      </c>
      <c r="K510" s="25">
        <v>0</v>
      </c>
      <c r="L510" s="25">
        <v>0</v>
      </c>
      <c r="M510" s="18">
        <f t="shared" si="37"/>
        <v>395</v>
      </c>
      <c r="N510" s="19">
        <f t="shared" si="38"/>
        <v>45575</v>
      </c>
      <c r="O510" s="18" t="b">
        <f t="shared" si="36"/>
        <v>0</v>
      </c>
      <c r="P510" s="43" t="str">
        <f>IF(O510,swap_curve!$B$19,"")</f>
        <v/>
      </c>
      <c r="Q510" t="str">
        <f t="shared" si="39"/>
        <v/>
      </c>
      <c r="R510" t="str" cm="1">
        <f t="array" ref="R510">IF(O510,BSCall(swap_curve!$B$20,imvol!M510,imvol!P510,imvol!Q510,YEARFRAC(swap_curve!$C$1,imvol!N510)),"")</f>
        <v/>
      </c>
      <c r="S510" s="20" t="str">
        <f t="shared" si="35"/>
        <v/>
      </c>
    </row>
    <row r="511" spans="1:19" x14ac:dyDescent="0.3">
      <c r="A511" s="23" t="s">
        <v>1360</v>
      </c>
      <c r="B511" s="23" t="s">
        <v>1361</v>
      </c>
      <c r="C511" s="24" t="s">
        <v>23</v>
      </c>
      <c r="D511" s="24" t="s">
        <v>23</v>
      </c>
      <c r="E511" s="24" t="s">
        <v>23</v>
      </c>
      <c r="F511" s="24" t="s">
        <v>23</v>
      </c>
      <c r="G511" s="24" t="s">
        <v>23</v>
      </c>
      <c r="H511" s="24">
        <v>15.8</v>
      </c>
      <c r="I511" s="24">
        <v>4.99</v>
      </c>
      <c r="J511" s="25">
        <v>0</v>
      </c>
      <c r="K511" s="25">
        <v>0</v>
      </c>
      <c r="L511" s="25">
        <v>0</v>
      </c>
      <c r="M511" s="18">
        <f t="shared" si="37"/>
        <v>400</v>
      </c>
      <c r="N511" s="19">
        <f t="shared" si="38"/>
        <v>45575</v>
      </c>
      <c r="O511" s="18" t="b">
        <f t="shared" si="36"/>
        <v>0</v>
      </c>
      <c r="P511" s="43" t="str">
        <f>IF(O511,swap_curve!$B$19,"")</f>
        <v/>
      </c>
      <c r="Q511" t="str">
        <f t="shared" si="39"/>
        <v/>
      </c>
      <c r="R511" t="str" cm="1">
        <f t="array" ref="R511">IF(O511,BSCall(swap_curve!$B$20,imvol!M511,imvol!P511,imvol!Q511,YEARFRAC(swap_curve!$C$1,imvol!N511)),"")</f>
        <v/>
      </c>
      <c r="S511" s="20" t="str">
        <f t="shared" ref="S511:S574" si="40">IF(O511,R511-C511,"")</f>
        <v/>
      </c>
    </row>
    <row r="512" spans="1:19" x14ac:dyDescent="0.3">
      <c r="A512" s="23" t="s">
        <v>1362</v>
      </c>
      <c r="B512" s="23" t="s">
        <v>1363</v>
      </c>
      <c r="C512" s="24" t="s">
        <v>23</v>
      </c>
      <c r="D512" s="24" t="s">
        <v>23</v>
      </c>
      <c r="E512" s="24" t="s">
        <v>23</v>
      </c>
      <c r="F512" s="24" t="s">
        <v>23</v>
      </c>
      <c r="G512" s="24" t="s">
        <v>23</v>
      </c>
      <c r="H512" s="24">
        <v>15.8</v>
      </c>
      <c r="I512" s="24">
        <v>4.04</v>
      </c>
      <c r="J512" s="25">
        <v>0</v>
      </c>
      <c r="K512" s="25">
        <v>0</v>
      </c>
      <c r="L512" s="25">
        <v>0</v>
      </c>
      <c r="M512" s="18">
        <f t="shared" si="37"/>
        <v>405</v>
      </c>
      <c r="N512" s="19">
        <f t="shared" si="38"/>
        <v>45575</v>
      </c>
      <c r="O512" s="18" t="b">
        <f t="shared" si="36"/>
        <v>0</v>
      </c>
      <c r="P512" s="43" t="str">
        <f>IF(O512,swap_curve!$B$19,"")</f>
        <v/>
      </c>
      <c r="Q512" t="str">
        <f t="shared" si="39"/>
        <v/>
      </c>
      <c r="R512" t="str" cm="1">
        <f t="array" ref="R512">IF(O512,BSCall(swap_curve!$B$20,imvol!M512,imvol!P512,imvol!Q512,YEARFRAC(swap_curve!$C$1,imvol!N512)),"")</f>
        <v/>
      </c>
      <c r="S512" s="20" t="str">
        <f t="shared" si="40"/>
        <v/>
      </c>
    </row>
    <row r="513" spans="1:19" x14ac:dyDescent="0.3">
      <c r="A513" s="23" t="s">
        <v>1364</v>
      </c>
      <c r="B513" s="23" t="s">
        <v>1365</v>
      </c>
      <c r="C513" s="24">
        <v>3.3</v>
      </c>
      <c r="D513" s="24">
        <v>0.37</v>
      </c>
      <c r="E513" s="24">
        <v>3.3</v>
      </c>
      <c r="F513" s="24">
        <v>3.3</v>
      </c>
      <c r="G513" s="24">
        <v>3.3</v>
      </c>
      <c r="H513" s="24">
        <v>15.8</v>
      </c>
      <c r="I513" s="24">
        <v>3.3</v>
      </c>
      <c r="J513" s="25">
        <v>1</v>
      </c>
      <c r="K513" s="25">
        <v>1</v>
      </c>
      <c r="L513" s="25">
        <v>6</v>
      </c>
      <c r="M513" s="18">
        <f t="shared" si="37"/>
        <v>410</v>
      </c>
      <c r="N513" s="19">
        <f t="shared" si="38"/>
        <v>45575</v>
      </c>
      <c r="O513" s="18" t="b">
        <f t="shared" si="36"/>
        <v>0</v>
      </c>
      <c r="P513" s="43" t="str">
        <f>IF(O513,swap_curve!$B$19,"")</f>
        <v/>
      </c>
      <c r="Q513" t="str">
        <f t="shared" si="39"/>
        <v/>
      </c>
      <c r="R513" t="str" cm="1">
        <f t="array" ref="R513">IF(O513,BSCall(swap_curve!$B$20,imvol!M513,imvol!P513,imvol!Q513,YEARFRAC(swap_curve!$C$1,imvol!N513)),"")</f>
        <v/>
      </c>
      <c r="S513" s="20" t="str">
        <f t="shared" si="40"/>
        <v/>
      </c>
    </row>
    <row r="514" spans="1:19" x14ac:dyDescent="0.3">
      <c r="A514" s="23" t="s">
        <v>1366</v>
      </c>
      <c r="B514" s="23" t="s">
        <v>1367</v>
      </c>
      <c r="C514" s="24" t="s">
        <v>23</v>
      </c>
      <c r="D514" s="24" t="s">
        <v>23</v>
      </c>
      <c r="E514" s="24" t="s">
        <v>23</v>
      </c>
      <c r="F514" s="24" t="s">
        <v>23</v>
      </c>
      <c r="G514" s="24" t="s">
        <v>23</v>
      </c>
      <c r="H514" s="24">
        <v>15.91</v>
      </c>
      <c r="I514" s="24">
        <v>2.65</v>
      </c>
      <c r="J514" s="25">
        <v>0</v>
      </c>
      <c r="K514" s="25">
        <v>0</v>
      </c>
      <c r="L514" s="25">
        <v>0</v>
      </c>
      <c r="M514" s="18">
        <f t="shared" si="37"/>
        <v>415</v>
      </c>
      <c r="N514" s="19">
        <f t="shared" si="38"/>
        <v>45575</v>
      </c>
      <c r="O514" s="18" t="b">
        <f t="shared" ref="O514:O577" si="41">IF(J514&gt;100, TRUE,FALSE)</f>
        <v>0</v>
      </c>
      <c r="P514" s="43" t="str">
        <f>IF(O514,swap_curve!$B$19,"")</f>
        <v/>
      </c>
      <c r="Q514" t="str">
        <f t="shared" si="39"/>
        <v/>
      </c>
      <c r="R514" t="str" cm="1">
        <f t="array" ref="R514">IF(O514,BSCall(swap_curve!$B$20,imvol!M514,imvol!P514,imvol!Q514,YEARFRAC(swap_curve!$C$1,imvol!N514)),"")</f>
        <v/>
      </c>
      <c r="S514" s="20" t="str">
        <f t="shared" si="40"/>
        <v/>
      </c>
    </row>
    <row r="515" spans="1:19" x14ac:dyDescent="0.3">
      <c r="A515" s="23" t="s">
        <v>1368</v>
      </c>
      <c r="B515" s="23" t="s">
        <v>1369</v>
      </c>
      <c r="C515" s="24" t="s">
        <v>23</v>
      </c>
      <c r="D515" s="24" t="s">
        <v>23</v>
      </c>
      <c r="E515" s="24" t="s">
        <v>23</v>
      </c>
      <c r="F515" s="24" t="s">
        <v>23</v>
      </c>
      <c r="G515" s="24" t="s">
        <v>23</v>
      </c>
      <c r="H515" s="24">
        <v>16.02</v>
      </c>
      <c r="I515" s="24">
        <v>2.21</v>
      </c>
      <c r="J515" s="25">
        <v>0</v>
      </c>
      <c r="K515" s="25">
        <v>0</v>
      </c>
      <c r="L515" s="25">
        <v>0</v>
      </c>
      <c r="M515" s="18">
        <f t="shared" ref="M515:M578" si="42">VALUE(RIGHT(B515, 6))</f>
        <v>420</v>
      </c>
      <c r="N515" s="19">
        <f t="shared" ref="N515:N578" si="43">DATE(VALUE(LEFT(MID(B515,10,6),4)),VALUE(RIGHT(MID(B515,10,6),2)),1)+MOD(5-WEEKDAY(DATE(VALUE(LEFT(MID(B515,10,6),4)),VALUE(RIGHT(MID(B515,10,6),2)),1)),7)+7</f>
        <v>45575</v>
      </c>
      <c r="O515" s="18" t="b">
        <f t="shared" si="41"/>
        <v>0</v>
      </c>
      <c r="P515" s="43" t="str">
        <f>IF(O515,swap_curve!$B$19,"")</f>
        <v/>
      </c>
      <c r="Q515" t="str">
        <f t="shared" ref="Q515:Q578" si="44">IF(O515,H515%,"")</f>
        <v/>
      </c>
      <c r="R515" t="str" cm="1">
        <f t="array" ref="R515">IF(O515,BSCall(swap_curve!$B$20,imvol!M515,imvol!P515,imvol!Q515,YEARFRAC(swap_curve!$C$1,imvol!N515)),"")</f>
        <v/>
      </c>
      <c r="S515" s="20" t="str">
        <f t="shared" si="40"/>
        <v/>
      </c>
    </row>
    <row r="516" spans="1:19" x14ac:dyDescent="0.3">
      <c r="A516" s="23" t="s">
        <v>1370</v>
      </c>
      <c r="B516" s="23" t="s">
        <v>1371</v>
      </c>
      <c r="C516" s="24" t="s">
        <v>23</v>
      </c>
      <c r="D516" s="24" t="s">
        <v>23</v>
      </c>
      <c r="E516" s="24" t="s">
        <v>23</v>
      </c>
      <c r="F516" s="24" t="s">
        <v>23</v>
      </c>
      <c r="G516" s="24" t="s">
        <v>23</v>
      </c>
      <c r="H516" s="24">
        <v>16.14</v>
      </c>
      <c r="I516" s="24">
        <v>1.82</v>
      </c>
      <c r="J516" s="25">
        <v>0</v>
      </c>
      <c r="K516" s="25">
        <v>0</v>
      </c>
      <c r="L516" s="25">
        <v>1</v>
      </c>
      <c r="M516" s="18">
        <f t="shared" si="42"/>
        <v>425</v>
      </c>
      <c r="N516" s="19">
        <f t="shared" si="43"/>
        <v>45575</v>
      </c>
      <c r="O516" s="18" t="b">
        <f t="shared" si="41"/>
        <v>0</v>
      </c>
      <c r="P516" s="43" t="str">
        <f>IF(O516,swap_curve!$B$19,"")</f>
        <v/>
      </c>
      <c r="Q516" t="str">
        <f t="shared" si="44"/>
        <v/>
      </c>
      <c r="R516" t="str" cm="1">
        <f t="array" ref="R516">IF(O516,BSCall(swap_curve!$B$20,imvol!M516,imvol!P516,imvol!Q516,YEARFRAC(swap_curve!$C$1,imvol!N516)),"")</f>
        <v/>
      </c>
      <c r="S516" s="20" t="str">
        <f t="shared" si="40"/>
        <v/>
      </c>
    </row>
    <row r="517" spans="1:19" x14ac:dyDescent="0.3">
      <c r="A517" s="23" t="s">
        <v>1372</v>
      </c>
      <c r="B517" s="23" t="s">
        <v>1373</v>
      </c>
      <c r="C517" s="24" t="s">
        <v>23</v>
      </c>
      <c r="D517" s="24" t="s">
        <v>23</v>
      </c>
      <c r="E517" s="24" t="s">
        <v>23</v>
      </c>
      <c r="F517" s="24" t="s">
        <v>23</v>
      </c>
      <c r="G517" s="24" t="s">
        <v>23</v>
      </c>
      <c r="H517" s="24">
        <v>16.25</v>
      </c>
      <c r="I517" s="24">
        <v>1.43</v>
      </c>
      <c r="J517" s="25">
        <v>0</v>
      </c>
      <c r="K517" s="25">
        <v>0</v>
      </c>
      <c r="L517" s="25">
        <v>1</v>
      </c>
      <c r="M517" s="18">
        <f t="shared" si="42"/>
        <v>430</v>
      </c>
      <c r="N517" s="19">
        <f t="shared" si="43"/>
        <v>45575</v>
      </c>
      <c r="O517" s="18" t="b">
        <f t="shared" si="41"/>
        <v>0</v>
      </c>
      <c r="P517" s="43" t="str">
        <f>IF(O517,swap_curve!$B$19,"")</f>
        <v/>
      </c>
      <c r="Q517" t="str">
        <f t="shared" si="44"/>
        <v/>
      </c>
      <c r="R517" t="str" cm="1">
        <f t="array" ref="R517">IF(O517,BSCall(swap_curve!$B$20,imvol!M517,imvol!P517,imvol!Q517,YEARFRAC(swap_curve!$C$1,imvol!N517)),"")</f>
        <v/>
      </c>
      <c r="S517" s="20" t="str">
        <f t="shared" si="40"/>
        <v/>
      </c>
    </row>
    <row r="518" spans="1:19" x14ac:dyDescent="0.3">
      <c r="A518" s="23" t="s">
        <v>1374</v>
      </c>
      <c r="B518" s="23" t="s">
        <v>1375</v>
      </c>
      <c r="C518" s="24" t="s">
        <v>23</v>
      </c>
      <c r="D518" s="24" t="s">
        <v>23</v>
      </c>
      <c r="E518" s="24" t="s">
        <v>23</v>
      </c>
      <c r="F518" s="24" t="s">
        <v>23</v>
      </c>
      <c r="G518" s="24" t="s">
        <v>23</v>
      </c>
      <c r="H518" s="24">
        <v>16.37</v>
      </c>
      <c r="I518" s="24">
        <v>1.2</v>
      </c>
      <c r="J518" s="25">
        <v>0</v>
      </c>
      <c r="K518" s="25">
        <v>0</v>
      </c>
      <c r="L518" s="25">
        <v>0</v>
      </c>
      <c r="M518" s="18">
        <f t="shared" si="42"/>
        <v>435</v>
      </c>
      <c r="N518" s="19">
        <f t="shared" si="43"/>
        <v>45575</v>
      </c>
      <c r="O518" s="18" t="b">
        <f t="shared" si="41"/>
        <v>0</v>
      </c>
      <c r="P518" s="43" t="str">
        <f>IF(O518,swap_curve!$B$19,"")</f>
        <v/>
      </c>
      <c r="Q518" t="str">
        <f t="shared" si="44"/>
        <v/>
      </c>
      <c r="R518" t="str" cm="1">
        <f t="array" ref="R518">IF(O518,BSCall(swap_curve!$B$20,imvol!M518,imvol!P518,imvol!Q518,YEARFRAC(swap_curve!$C$1,imvol!N518)),"")</f>
        <v/>
      </c>
      <c r="S518" s="20" t="str">
        <f t="shared" si="40"/>
        <v/>
      </c>
    </row>
    <row r="519" spans="1:19" x14ac:dyDescent="0.3">
      <c r="A519" s="23" t="s">
        <v>1376</v>
      </c>
      <c r="B519" s="23" t="s">
        <v>1377</v>
      </c>
      <c r="C519" s="24" t="s">
        <v>23</v>
      </c>
      <c r="D519" s="24" t="s">
        <v>23</v>
      </c>
      <c r="E519" s="24" t="s">
        <v>23</v>
      </c>
      <c r="F519" s="24" t="s">
        <v>23</v>
      </c>
      <c r="G519" s="24" t="s">
        <v>23</v>
      </c>
      <c r="H519" s="24">
        <v>16.48</v>
      </c>
      <c r="I519" s="24">
        <v>0.98</v>
      </c>
      <c r="J519" s="25">
        <v>0</v>
      </c>
      <c r="K519" s="25">
        <v>0</v>
      </c>
      <c r="L519" s="25">
        <v>0</v>
      </c>
      <c r="M519" s="18">
        <f t="shared" si="42"/>
        <v>440</v>
      </c>
      <c r="N519" s="19">
        <f t="shared" si="43"/>
        <v>45575</v>
      </c>
      <c r="O519" s="18" t="b">
        <f t="shared" si="41"/>
        <v>0</v>
      </c>
      <c r="P519" s="43" t="str">
        <f>IF(O519,swap_curve!$B$19,"")</f>
        <v/>
      </c>
      <c r="Q519" t="str">
        <f t="shared" si="44"/>
        <v/>
      </c>
      <c r="R519" t="str" cm="1">
        <f t="array" ref="R519">IF(O519,BSCall(swap_curve!$B$20,imvol!M519,imvol!P519,imvol!Q519,YEARFRAC(swap_curve!$C$1,imvol!N519)),"")</f>
        <v/>
      </c>
      <c r="S519" s="20" t="str">
        <f t="shared" si="40"/>
        <v/>
      </c>
    </row>
    <row r="520" spans="1:19" x14ac:dyDescent="0.3">
      <c r="A520" s="23" t="s">
        <v>1378</v>
      </c>
      <c r="B520" s="23" t="s">
        <v>1379</v>
      </c>
      <c r="C520" s="24">
        <v>0.78</v>
      </c>
      <c r="D520" s="24">
        <v>0.14000000000000001</v>
      </c>
      <c r="E520" s="24">
        <v>0.78</v>
      </c>
      <c r="F520" s="24">
        <v>0.78</v>
      </c>
      <c r="G520" s="24">
        <v>0.78</v>
      </c>
      <c r="H520" s="24">
        <v>16.600000000000001</v>
      </c>
      <c r="I520" s="24">
        <v>0.78</v>
      </c>
      <c r="J520" s="25">
        <v>8</v>
      </c>
      <c r="K520" s="25">
        <v>2</v>
      </c>
      <c r="L520" s="25">
        <v>8</v>
      </c>
      <c r="M520" s="18">
        <f t="shared" si="42"/>
        <v>445</v>
      </c>
      <c r="N520" s="19">
        <f t="shared" si="43"/>
        <v>45575</v>
      </c>
      <c r="O520" s="18" t="b">
        <f t="shared" si="41"/>
        <v>0</v>
      </c>
      <c r="P520" s="43" t="str">
        <f>IF(O520,swap_curve!$B$19,"")</f>
        <v/>
      </c>
      <c r="Q520" t="str">
        <f t="shared" si="44"/>
        <v/>
      </c>
      <c r="R520" t="str" cm="1">
        <f t="array" ref="R520">IF(O520,BSCall(swap_curve!$B$20,imvol!M520,imvol!P520,imvol!Q520,YEARFRAC(swap_curve!$C$1,imvol!N520)),"")</f>
        <v/>
      </c>
      <c r="S520" s="20" t="str">
        <f t="shared" si="40"/>
        <v/>
      </c>
    </row>
    <row r="521" spans="1:19" x14ac:dyDescent="0.3">
      <c r="A521" s="23" t="s">
        <v>1380</v>
      </c>
      <c r="B521" s="23" t="s">
        <v>1381</v>
      </c>
      <c r="C521" s="24">
        <v>0.63</v>
      </c>
      <c r="D521" s="24">
        <v>0.09</v>
      </c>
      <c r="E521" s="24">
        <v>0.63</v>
      </c>
      <c r="F521" s="24">
        <v>0.63</v>
      </c>
      <c r="G521" s="24">
        <v>0.63</v>
      </c>
      <c r="H521" s="24">
        <v>16.600000000000001</v>
      </c>
      <c r="I521" s="24">
        <v>0.63</v>
      </c>
      <c r="J521" s="25">
        <v>8</v>
      </c>
      <c r="K521" s="25">
        <v>1</v>
      </c>
      <c r="L521" s="25">
        <v>8</v>
      </c>
      <c r="M521" s="18">
        <f t="shared" si="42"/>
        <v>450</v>
      </c>
      <c r="N521" s="19">
        <f t="shared" si="43"/>
        <v>45575</v>
      </c>
      <c r="O521" s="18" t="b">
        <f t="shared" si="41"/>
        <v>0</v>
      </c>
      <c r="P521" s="43" t="str">
        <f>IF(O521,swap_curve!$B$19,"")</f>
        <v/>
      </c>
      <c r="Q521" t="str">
        <f t="shared" si="44"/>
        <v/>
      </c>
      <c r="R521" t="str" cm="1">
        <f t="array" ref="R521">IF(O521,BSCall(swap_curve!$B$20,imvol!M521,imvol!P521,imvol!Q521,YEARFRAC(swap_curve!$C$1,imvol!N521)),"")</f>
        <v/>
      </c>
      <c r="S521" s="20" t="str">
        <f t="shared" si="40"/>
        <v/>
      </c>
    </row>
    <row r="522" spans="1:19" x14ac:dyDescent="0.3">
      <c r="A522" s="23" t="s">
        <v>1382</v>
      </c>
      <c r="B522" s="23" t="s">
        <v>1383</v>
      </c>
      <c r="C522" s="24">
        <v>0.51</v>
      </c>
      <c r="D522" s="24">
        <v>0.06</v>
      </c>
      <c r="E522" s="24">
        <v>0.51</v>
      </c>
      <c r="F522" s="24">
        <v>0.51</v>
      </c>
      <c r="G522" s="24">
        <v>0.51</v>
      </c>
      <c r="H522" s="24">
        <v>16.7</v>
      </c>
      <c r="I522" s="24">
        <v>0.51</v>
      </c>
      <c r="J522" s="25">
        <v>8</v>
      </c>
      <c r="K522" s="25">
        <v>1</v>
      </c>
      <c r="L522" s="25">
        <v>100</v>
      </c>
      <c r="M522" s="18">
        <f t="shared" si="42"/>
        <v>455</v>
      </c>
      <c r="N522" s="19">
        <f t="shared" si="43"/>
        <v>45575</v>
      </c>
      <c r="O522" s="18" t="b">
        <f t="shared" si="41"/>
        <v>0</v>
      </c>
      <c r="P522" s="43" t="str">
        <f>IF(O522,swap_curve!$B$19,"")</f>
        <v/>
      </c>
      <c r="Q522" t="str">
        <f t="shared" si="44"/>
        <v/>
      </c>
      <c r="R522" t="str" cm="1">
        <f t="array" ref="R522">IF(O522,BSCall(swap_curve!$B$20,imvol!M522,imvol!P522,imvol!Q522,YEARFRAC(swap_curve!$C$1,imvol!N522)),"")</f>
        <v/>
      </c>
      <c r="S522" s="20" t="str">
        <f t="shared" si="40"/>
        <v/>
      </c>
    </row>
    <row r="523" spans="1:19" x14ac:dyDescent="0.3">
      <c r="A523" s="23" t="s">
        <v>1384</v>
      </c>
      <c r="B523" s="23" t="s">
        <v>1385</v>
      </c>
      <c r="C523" s="24" t="s">
        <v>23</v>
      </c>
      <c r="D523" s="24" t="s">
        <v>23</v>
      </c>
      <c r="E523" s="24" t="s">
        <v>23</v>
      </c>
      <c r="F523" s="24" t="s">
        <v>23</v>
      </c>
      <c r="G523" s="24" t="s">
        <v>23</v>
      </c>
      <c r="H523" s="24">
        <v>16.7</v>
      </c>
      <c r="I523" s="24">
        <v>0.37</v>
      </c>
      <c r="J523" s="25">
        <v>0</v>
      </c>
      <c r="K523" s="25">
        <v>0</v>
      </c>
      <c r="L523" s="25">
        <v>0</v>
      </c>
      <c r="M523" s="18">
        <f t="shared" si="42"/>
        <v>460</v>
      </c>
      <c r="N523" s="19">
        <f t="shared" si="43"/>
        <v>45575</v>
      </c>
      <c r="O523" s="18" t="b">
        <f t="shared" si="41"/>
        <v>0</v>
      </c>
      <c r="P523" s="43" t="str">
        <f>IF(O523,swap_curve!$B$19,"")</f>
        <v/>
      </c>
      <c r="Q523" t="str">
        <f t="shared" si="44"/>
        <v/>
      </c>
      <c r="R523" t="str" cm="1">
        <f t="array" ref="R523">IF(O523,BSCall(swap_curve!$B$20,imvol!M523,imvol!P523,imvol!Q523,YEARFRAC(swap_curve!$C$1,imvol!N523)),"")</f>
        <v/>
      </c>
      <c r="S523" s="20" t="str">
        <f t="shared" si="40"/>
        <v/>
      </c>
    </row>
    <row r="524" spans="1:19" x14ac:dyDescent="0.3">
      <c r="A524" s="23" t="s">
        <v>1386</v>
      </c>
      <c r="B524" s="23" t="s">
        <v>1387</v>
      </c>
      <c r="C524" s="24" t="s">
        <v>23</v>
      </c>
      <c r="D524" s="24" t="s">
        <v>23</v>
      </c>
      <c r="E524" s="24" t="s">
        <v>23</v>
      </c>
      <c r="F524" s="24" t="s">
        <v>23</v>
      </c>
      <c r="G524" s="24" t="s">
        <v>23</v>
      </c>
      <c r="H524" s="24">
        <v>16.7</v>
      </c>
      <c r="I524" s="24">
        <v>0.28999999999999998</v>
      </c>
      <c r="J524" s="25">
        <v>0</v>
      </c>
      <c r="K524" s="25">
        <v>0</v>
      </c>
      <c r="L524" s="25">
        <v>0</v>
      </c>
      <c r="M524" s="18">
        <f t="shared" si="42"/>
        <v>465</v>
      </c>
      <c r="N524" s="19">
        <f t="shared" si="43"/>
        <v>45575</v>
      </c>
      <c r="O524" s="18" t="b">
        <f t="shared" si="41"/>
        <v>0</v>
      </c>
      <c r="P524" s="43" t="str">
        <f>IF(O524,swap_curve!$B$19,"")</f>
        <v/>
      </c>
      <c r="Q524" t="str">
        <f t="shared" si="44"/>
        <v/>
      </c>
      <c r="R524" t="str" cm="1">
        <f t="array" ref="R524">IF(O524,BSCall(swap_curve!$B$20,imvol!M524,imvol!P524,imvol!Q524,YEARFRAC(swap_curve!$C$1,imvol!N524)),"")</f>
        <v/>
      </c>
      <c r="S524" s="20" t="str">
        <f t="shared" si="40"/>
        <v/>
      </c>
    </row>
    <row r="525" spans="1:19" x14ac:dyDescent="0.3">
      <c r="A525" s="23" t="s">
        <v>1388</v>
      </c>
      <c r="B525" s="23" t="s">
        <v>1389</v>
      </c>
      <c r="C525" s="24" t="s">
        <v>23</v>
      </c>
      <c r="D525" s="24" t="s">
        <v>23</v>
      </c>
      <c r="E525" s="24" t="s">
        <v>23</v>
      </c>
      <c r="F525" s="24" t="s">
        <v>23</v>
      </c>
      <c r="G525" s="24" t="s">
        <v>23</v>
      </c>
      <c r="H525" s="24">
        <v>16.7</v>
      </c>
      <c r="I525" s="24">
        <v>0.23</v>
      </c>
      <c r="J525" s="25">
        <v>0</v>
      </c>
      <c r="K525" s="25">
        <v>0</v>
      </c>
      <c r="L525" s="25">
        <v>0</v>
      </c>
      <c r="M525" s="18">
        <f t="shared" si="42"/>
        <v>470</v>
      </c>
      <c r="N525" s="19">
        <f t="shared" si="43"/>
        <v>45575</v>
      </c>
      <c r="O525" s="18" t="b">
        <f t="shared" si="41"/>
        <v>0</v>
      </c>
      <c r="P525" s="43" t="str">
        <f>IF(O525,swap_curve!$B$19,"")</f>
        <v/>
      </c>
      <c r="Q525" t="str">
        <f t="shared" si="44"/>
        <v/>
      </c>
      <c r="R525" t="str" cm="1">
        <f t="array" ref="R525">IF(O525,BSCall(swap_curve!$B$20,imvol!M525,imvol!P525,imvol!Q525,YEARFRAC(swap_curve!$C$1,imvol!N525)),"")</f>
        <v/>
      </c>
      <c r="S525" s="20" t="str">
        <f t="shared" si="40"/>
        <v/>
      </c>
    </row>
    <row r="526" spans="1:19" x14ac:dyDescent="0.3">
      <c r="A526" s="23" t="s">
        <v>1390</v>
      </c>
      <c r="B526" s="23" t="s">
        <v>1391</v>
      </c>
      <c r="C526" s="24" t="s">
        <v>23</v>
      </c>
      <c r="D526" s="24" t="s">
        <v>23</v>
      </c>
      <c r="E526" s="24" t="s">
        <v>23</v>
      </c>
      <c r="F526" s="24" t="s">
        <v>23</v>
      </c>
      <c r="G526" s="24" t="s">
        <v>23</v>
      </c>
      <c r="H526" s="24">
        <v>16.7</v>
      </c>
      <c r="I526" s="24">
        <v>0.16</v>
      </c>
      <c r="J526" s="25">
        <v>0</v>
      </c>
      <c r="K526" s="25">
        <v>0</v>
      </c>
      <c r="L526" s="25">
        <v>0</v>
      </c>
      <c r="M526" s="18">
        <f t="shared" si="42"/>
        <v>475</v>
      </c>
      <c r="N526" s="19">
        <f t="shared" si="43"/>
        <v>45575</v>
      </c>
      <c r="O526" s="18" t="b">
        <f t="shared" si="41"/>
        <v>0</v>
      </c>
      <c r="P526" s="43" t="str">
        <f>IF(O526,swap_curve!$B$19,"")</f>
        <v/>
      </c>
      <c r="Q526" t="str">
        <f t="shared" si="44"/>
        <v/>
      </c>
      <c r="R526" t="str" cm="1">
        <f t="array" ref="R526">IF(O526,BSCall(swap_curve!$B$20,imvol!M526,imvol!P526,imvol!Q526,YEARFRAC(swap_curve!$C$1,imvol!N526)),"")</f>
        <v/>
      </c>
      <c r="S526" s="20" t="str">
        <f t="shared" si="40"/>
        <v/>
      </c>
    </row>
    <row r="527" spans="1:19" x14ac:dyDescent="0.3">
      <c r="A527" s="23" t="s">
        <v>1392</v>
      </c>
      <c r="B527" s="23" t="s">
        <v>1393</v>
      </c>
      <c r="C527" s="24" t="s">
        <v>23</v>
      </c>
      <c r="D527" s="24" t="s">
        <v>23</v>
      </c>
      <c r="E527" s="24" t="s">
        <v>23</v>
      </c>
      <c r="F527" s="24" t="s">
        <v>23</v>
      </c>
      <c r="G527" s="24" t="s">
        <v>23</v>
      </c>
      <c r="H527" s="24">
        <v>16.7</v>
      </c>
      <c r="I527" s="24">
        <v>0.13</v>
      </c>
      <c r="J527" s="25">
        <v>0</v>
      </c>
      <c r="K527" s="25">
        <v>0</v>
      </c>
      <c r="L527" s="25">
        <v>0</v>
      </c>
      <c r="M527" s="18">
        <f t="shared" si="42"/>
        <v>480</v>
      </c>
      <c r="N527" s="19">
        <f t="shared" si="43"/>
        <v>45575</v>
      </c>
      <c r="O527" s="18" t="b">
        <f t="shared" si="41"/>
        <v>0</v>
      </c>
      <c r="P527" s="43" t="str">
        <f>IF(O527,swap_curve!$B$19,"")</f>
        <v/>
      </c>
      <c r="Q527" t="str">
        <f t="shared" si="44"/>
        <v/>
      </c>
      <c r="R527" t="str" cm="1">
        <f t="array" ref="R527">IF(O527,BSCall(swap_curve!$B$20,imvol!M527,imvol!P527,imvol!Q527,YEARFRAC(swap_curve!$C$1,imvol!N527)),"")</f>
        <v/>
      </c>
      <c r="S527" s="20" t="str">
        <f t="shared" si="40"/>
        <v/>
      </c>
    </row>
    <row r="528" spans="1:19" x14ac:dyDescent="0.3">
      <c r="A528" s="23" t="s">
        <v>1394</v>
      </c>
      <c r="B528" s="23" t="s">
        <v>1395</v>
      </c>
      <c r="C528" s="24" t="s">
        <v>23</v>
      </c>
      <c r="D528" s="24" t="s">
        <v>23</v>
      </c>
      <c r="E528" s="24" t="s">
        <v>23</v>
      </c>
      <c r="F528" s="24" t="s">
        <v>23</v>
      </c>
      <c r="G528" s="24" t="s">
        <v>23</v>
      </c>
      <c r="H528" s="24">
        <v>16.7</v>
      </c>
      <c r="I528" s="24">
        <v>0.1</v>
      </c>
      <c r="J528" s="25">
        <v>0</v>
      </c>
      <c r="K528" s="25">
        <v>0</v>
      </c>
      <c r="L528" s="25">
        <v>0</v>
      </c>
      <c r="M528" s="18">
        <f t="shared" si="42"/>
        <v>485</v>
      </c>
      <c r="N528" s="19">
        <f t="shared" si="43"/>
        <v>45575</v>
      </c>
      <c r="O528" s="18" t="b">
        <f t="shared" si="41"/>
        <v>0</v>
      </c>
      <c r="P528" s="43" t="str">
        <f>IF(O528,swap_curve!$B$19,"")</f>
        <v/>
      </c>
      <c r="Q528" t="str">
        <f t="shared" si="44"/>
        <v/>
      </c>
      <c r="R528" t="str" cm="1">
        <f t="array" ref="R528">IF(O528,BSCall(swap_curve!$B$20,imvol!M528,imvol!P528,imvol!Q528,YEARFRAC(swap_curve!$C$1,imvol!N528)),"")</f>
        <v/>
      </c>
      <c r="S528" s="20" t="str">
        <f t="shared" si="40"/>
        <v/>
      </c>
    </row>
    <row r="529" spans="1:19" x14ac:dyDescent="0.3">
      <c r="A529" s="23" t="s">
        <v>1396</v>
      </c>
      <c r="B529" s="23" t="s">
        <v>1397</v>
      </c>
      <c r="C529" s="24" t="s">
        <v>23</v>
      </c>
      <c r="D529" s="24" t="s">
        <v>23</v>
      </c>
      <c r="E529" s="24" t="s">
        <v>23</v>
      </c>
      <c r="F529" s="24" t="s">
        <v>23</v>
      </c>
      <c r="G529" s="24" t="s">
        <v>23</v>
      </c>
      <c r="H529" s="24">
        <v>16.7</v>
      </c>
      <c r="I529" s="24">
        <v>7.0000000000000007E-2</v>
      </c>
      <c r="J529" s="25">
        <v>0</v>
      </c>
      <c r="K529" s="25">
        <v>0</v>
      </c>
      <c r="L529" s="25">
        <v>42</v>
      </c>
      <c r="M529" s="18">
        <f t="shared" si="42"/>
        <v>490</v>
      </c>
      <c r="N529" s="19">
        <f t="shared" si="43"/>
        <v>45575</v>
      </c>
      <c r="O529" s="18" t="b">
        <f t="shared" si="41"/>
        <v>0</v>
      </c>
      <c r="P529" s="43" t="str">
        <f>IF(O529,swap_curve!$B$19,"")</f>
        <v/>
      </c>
      <c r="Q529" t="str">
        <f t="shared" si="44"/>
        <v/>
      </c>
      <c r="R529" t="str" cm="1">
        <f t="array" ref="R529">IF(O529,BSCall(swap_curve!$B$20,imvol!M529,imvol!P529,imvol!Q529,YEARFRAC(swap_curve!$C$1,imvol!N529)),"")</f>
        <v/>
      </c>
      <c r="S529" s="20" t="str">
        <f t="shared" si="40"/>
        <v/>
      </c>
    </row>
    <row r="530" spans="1:19" x14ac:dyDescent="0.3">
      <c r="A530" s="23" t="s">
        <v>374</v>
      </c>
      <c r="B530" s="23" t="s">
        <v>375</v>
      </c>
      <c r="C530" s="24" t="s">
        <v>23</v>
      </c>
      <c r="D530" s="24" t="s">
        <v>23</v>
      </c>
      <c r="E530" s="24" t="s">
        <v>23</v>
      </c>
      <c r="F530" s="24" t="s">
        <v>23</v>
      </c>
      <c r="G530" s="24" t="s">
        <v>23</v>
      </c>
      <c r="H530" s="24">
        <v>8</v>
      </c>
      <c r="I530" s="24">
        <v>205.95</v>
      </c>
      <c r="J530" s="25">
        <v>0</v>
      </c>
      <c r="K530" s="25">
        <v>0</v>
      </c>
      <c r="L530" s="25">
        <v>195</v>
      </c>
      <c r="M530" s="18">
        <f t="shared" si="42"/>
        <v>160</v>
      </c>
      <c r="N530" s="19">
        <f t="shared" si="43"/>
        <v>45638</v>
      </c>
      <c r="O530" s="18" t="b">
        <f t="shared" si="41"/>
        <v>0</v>
      </c>
      <c r="P530" s="43" t="str">
        <f>IF(O530,swap_curve!$B$19,"")</f>
        <v/>
      </c>
      <c r="Q530" t="str">
        <f t="shared" si="44"/>
        <v/>
      </c>
      <c r="R530" t="str" cm="1">
        <f t="array" ref="R530">IF(O530,BSCall(swap_curve!$B$20,imvol!M530,imvol!P530,imvol!Q530,YEARFRAC(swap_curve!$C$1,imvol!N530)),"")</f>
        <v/>
      </c>
      <c r="S530" s="20" t="str">
        <f t="shared" si="40"/>
        <v/>
      </c>
    </row>
    <row r="531" spans="1:19" x14ac:dyDescent="0.3">
      <c r="A531" s="23" t="s">
        <v>376</v>
      </c>
      <c r="B531" s="23" t="s">
        <v>377</v>
      </c>
      <c r="C531" s="24" t="s">
        <v>23</v>
      </c>
      <c r="D531" s="24" t="s">
        <v>23</v>
      </c>
      <c r="E531" s="24" t="s">
        <v>23</v>
      </c>
      <c r="F531" s="24" t="s">
        <v>23</v>
      </c>
      <c r="G531" s="24" t="s">
        <v>23</v>
      </c>
      <c r="H531" s="24">
        <v>8</v>
      </c>
      <c r="I531" s="24">
        <v>201.05</v>
      </c>
      <c r="J531" s="25">
        <v>0</v>
      </c>
      <c r="K531" s="25">
        <v>0</v>
      </c>
      <c r="L531" s="25">
        <v>0</v>
      </c>
      <c r="M531" s="18">
        <f t="shared" si="42"/>
        <v>165</v>
      </c>
      <c r="N531" s="19">
        <f t="shared" si="43"/>
        <v>45638</v>
      </c>
      <c r="O531" s="18" t="b">
        <f t="shared" si="41"/>
        <v>0</v>
      </c>
      <c r="P531" s="43" t="str">
        <f>IF(O531,swap_curve!$B$19,"")</f>
        <v/>
      </c>
      <c r="Q531" t="str">
        <f t="shared" si="44"/>
        <v/>
      </c>
      <c r="R531" t="str" cm="1">
        <f t="array" ref="R531">IF(O531,BSCall(swap_curve!$B$20,imvol!M531,imvol!P531,imvol!Q531,YEARFRAC(swap_curve!$C$1,imvol!N531)),"")</f>
        <v/>
      </c>
      <c r="S531" s="20" t="str">
        <f t="shared" si="40"/>
        <v/>
      </c>
    </row>
    <row r="532" spans="1:19" x14ac:dyDescent="0.3">
      <c r="A532" s="23" t="s">
        <v>378</v>
      </c>
      <c r="B532" s="23" t="s">
        <v>379</v>
      </c>
      <c r="C532" s="24" t="s">
        <v>23</v>
      </c>
      <c r="D532" s="24" t="s">
        <v>23</v>
      </c>
      <c r="E532" s="24" t="s">
        <v>23</v>
      </c>
      <c r="F532" s="24" t="s">
        <v>23</v>
      </c>
      <c r="G532" s="24" t="s">
        <v>23</v>
      </c>
      <c r="H532" s="24">
        <v>8</v>
      </c>
      <c r="I532" s="24">
        <v>196.2</v>
      </c>
      <c r="J532" s="25">
        <v>0</v>
      </c>
      <c r="K532" s="25">
        <v>0</v>
      </c>
      <c r="L532" s="25">
        <v>1</v>
      </c>
      <c r="M532" s="18">
        <f t="shared" si="42"/>
        <v>170</v>
      </c>
      <c r="N532" s="19">
        <f t="shared" si="43"/>
        <v>45638</v>
      </c>
      <c r="O532" s="18" t="b">
        <f t="shared" si="41"/>
        <v>0</v>
      </c>
      <c r="P532" s="43" t="str">
        <f>IF(O532,swap_curve!$B$19,"")</f>
        <v/>
      </c>
      <c r="Q532" t="str">
        <f t="shared" si="44"/>
        <v/>
      </c>
      <c r="R532" t="str" cm="1">
        <f t="array" ref="R532">IF(O532,BSCall(swap_curve!$B$20,imvol!M532,imvol!P532,imvol!Q532,YEARFRAC(swap_curve!$C$1,imvol!N532)),"")</f>
        <v/>
      </c>
      <c r="S532" s="20" t="str">
        <f t="shared" si="40"/>
        <v/>
      </c>
    </row>
    <row r="533" spans="1:19" x14ac:dyDescent="0.3">
      <c r="A533" s="23" t="s">
        <v>380</v>
      </c>
      <c r="B533" s="23" t="s">
        <v>381</v>
      </c>
      <c r="C533" s="24" t="s">
        <v>23</v>
      </c>
      <c r="D533" s="24" t="s">
        <v>23</v>
      </c>
      <c r="E533" s="24" t="s">
        <v>23</v>
      </c>
      <c r="F533" s="24" t="s">
        <v>23</v>
      </c>
      <c r="G533" s="24" t="s">
        <v>23</v>
      </c>
      <c r="H533" s="24">
        <v>8</v>
      </c>
      <c r="I533" s="24">
        <v>191.3</v>
      </c>
      <c r="J533" s="25">
        <v>0</v>
      </c>
      <c r="K533" s="25">
        <v>0</v>
      </c>
      <c r="L533" s="25">
        <v>0</v>
      </c>
      <c r="M533" s="18">
        <f t="shared" si="42"/>
        <v>175</v>
      </c>
      <c r="N533" s="19">
        <f t="shared" si="43"/>
        <v>45638</v>
      </c>
      <c r="O533" s="18" t="b">
        <f t="shared" si="41"/>
        <v>0</v>
      </c>
      <c r="P533" s="43" t="str">
        <f>IF(O533,swap_curve!$B$19,"")</f>
        <v/>
      </c>
      <c r="Q533" t="str">
        <f t="shared" si="44"/>
        <v/>
      </c>
      <c r="R533" t="str" cm="1">
        <f t="array" ref="R533">IF(O533,BSCall(swap_curve!$B$20,imvol!M533,imvol!P533,imvol!Q533,YEARFRAC(swap_curve!$C$1,imvol!N533)),"")</f>
        <v/>
      </c>
      <c r="S533" s="20" t="str">
        <f t="shared" si="40"/>
        <v/>
      </c>
    </row>
    <row r="534" spans="1:19" x14ac:dyDescent="0.3">
      <c r="A534" s="23" t="s">
        <v>382</v>
      </c>
      <c r="B534" s="23" t="s">
        <v>383</v>
      </c>
      <c r="C534" s="24" t="s">
        <v>23</v>
      </c>
      <c r="D534" s="24" t="s">
        <v>23</v>
      </c>
      <c r="E534" s="24" t="s">
        <v>23</v>
      </c>
      <c r="F534" s="24" t="s">
        <v>23</v>
      </c>
      <c r="G534" s="24" t="s">
        <v>23</v>
      </c>
      <c r="H534" s="24">
        <v>8</v>
      </c>
      <c r="I534" s="24">
        <v>186.4</v>
      </c>
      <c r="J534" s="25">
        <v>0</v>
      </c>
      <c r="K534" s="25">
        <v>0</v>
      </c>
      <c r="L534" s="25">
        <v>0</v>
      </c>
      <c r="M534" s="18">
        <f t="shared" si="42"/>
        <v>180</v>
      </c>
      <c r="N534" s="19">
        <f t="shared" si="43"/>
        <v>45638</v>
      </c>
      <c r="O534" s="18" t="b">
        <f t="shared" si="41"/>
        <v>0</v>
      </c>
      <c r="P534" s="43" t="str">
        <f>IF(O534,swap_curve!$B$19,"")</f>
        <v/>
      </c>
      <c r="Q534" t="str">
        <f t="shared" si="44"/>
        <v/>
      </c>
      <c r="R534" t="str" cm="1">
        <f t="array" ref="R534">IF(O534,BSCall(swap_curve!$B$20,imvol!M534,imvol!P534,imvol!Q534,YEARFRAC(swap_curve!$C$1,imvol!N534)),"")</f>
        <v/>
      </c>
      <c r="S534" s="20" t="str">
        <f t="shared" si="40"/>
        <v/>
      </c>
    </row>
    <row r="535" spans="1:19" x14ac:dyDescent="0.3">
      <c r="A535" s="23" t="s">
        <v>384</v>
      </c>
      <c r="B535" s="23" t="s">
        <v>385</v>
      </c>
      <c r="C535" s="24" t="s">
        <v>23</v>
      </c>
      <c r="D535" s="24" t="s">
        <v>23</v>
      </c>
      <c r="E535" s="24" t="s">
        <v>23</v>
      </c>
      <c r="F535" s="24" t="s">
        <v>23</v>
      </c>
      <c r="G535" s="24" t="s">
        <v>23</v>
      </c>
      <c r="H535" s="24">
        <v>8</v>
      </c>
      <c r="I535" s="24">
        <v>181.5</v>
      </c>
      <c r="J535" s="25">
        <v>0</v>
      </c>
      <c r="K535" s="25">
        <v>0</v>
      </c>
      <c r="L535" s="25">
        <v>0</v>
      </c>
      <c r="M535" s="18">
        <f t="shared" si="42"/>
        <v>185</v>
      </c>
      <c r="N535" s="19">
        <f t="shared" si="43"/>
        <v>45638</v>
      </c>
      <c r="O535" s="18" t="b">
        <f t="shared" si="41"/>
        <v>0</v>
      </c>
      <c r="P535" s="43" t="str">
        <f>IF(O535,swap_curve!$B$19,"")</f>
        <v/>
      </c>
      <c r="Q535" t="str">
        <f t="shared" si="44"/>
        <v/>
      </c>
      <c r="R535" t="str" cm="1">
        <f t="array" ref="R535">IF(O535,BSCall(swap_curve!$B$20,imvol!M535,imvol!P535,imvol!Q535,YEARFRAC(swap_curve!$C$1,imvol!N535)),"")</f>
        <v/>
      </c>
      <c r="S535" s="20" t="str">
        <f t="shared" si="40"/>
        <v/>
      </c>
    </row>
    <row r="536" spans="1:19" x14ac:dyDescent="0.3">
      <c r="A536" s="23" t="s">
        <v>386</v>
      </c>
      <c r="B536" s="23" t="s">
        <v>387</v>
      </c>
      <c r="C536" s="24" t="s">
        <v>23</v>
      </c>
      <c r="D536" s="24" t="s">
        <v>23</v>
      </c>
      <c r="E536" s="24" t="s">
        <v>23</v>
      </c>
      <c r="F536" s="24" t="s">
        <v>23</v>
      </c>
      <c r="G536" s="24" t="s">
        <v>23</v>
      </c>
      <c r="H536" s="24">
        <v>8</v>
      </c>
      <c r="I536" s="24">
        <v>176.6</v>
      </c>
      <c r="J536" s="25">
        <v>0</v>
      </c>
      <c r="K536" s="25">
        <v>0</v>
      </c>
      <c r="L536" s="25">
        <v>0</v>
      </c>
      <c r="M536" s="18">
        <f t="shared" si="42"/>
        <v>190</v>
      </c>
      <c r="N536" s="19">
        <f t="shared" si="43"/>
        <v>45638</v>
      </c>
      <c r="O536" s="18" t="b">
        <f t="shared" si="41"/>
        <v>0</v>
      </c>
      <c r="P536" s="43" t="str">
        <f>IF(O536,swap_curve!$B$19,"")</f>
        <v/>
      </c>
      <c r="Q536" t="str">
        <f t="shared" si="44"/>
        <v/>
      </c>
      <c r="R536" t="str" cm="1">
        <f t="array" ref="R536">IF(O536,BSCall(swap_curve!$B$20,imvol!M536,imvol!P536,imvol!Q536,YEARFRAC(swap_curve!$C$1,imvol!N536)),"")</f>
        <v/>
      </c>
      <c r="S536" s="20" t="str">
        <f t="shared" si="40"/>
        <v/>
      </c>
    </row>
    <row r="537" spans="1:19" x14ac:dyDescent="0.3">
      <c r="A537" s="23" t="s">
        <v>388</v>
      </c>
      <c r="B537" s="23" t="s">
        <v>389</v>
      </c>
      <c r="C537" s="24" t="s">
        <v>23</v>
      </c>
      <c r="D537" s="24" t="s">
        <v>23</v>
      </c>
      <c r="E537" s="24" t="s">
        <v>23</v>
      </c>
      <c r="F537" s="24" t="s">
        <v>23</v>
      </c>
      <c r="G537" s="24" t="s">
        <v>23</v>
      </c>
      <c r="H537" s="24">
        <v>8</v>
      </c>
      <c r="I537" s="24">
        <v>171.7</v>
      </c>
      <c r="J537" s="25">
        <v>0</v>
      </c>
      <c r="K537" s="25">
        <v>0</v>
      </c>
      <c r="L537" s="25">
        <v>0</v>
      </c>
      <c r="M537" s="18">
        <f t="shared" si="42"/>
        <v>195</v>
      </c>
      <c r="N537" s="19">
        <f t="shared" si="43"/>
        <v>45638</v>
      </c>
      <c r="O537" s="18" t="b">
        <f t="shared" si="41"/>
        <v>0</v>
      </c>
      <c r="P537" s="43" t="str">
        <f>IF(O537,swap_curve!$B$19,"")</f>
        <v/>
      </c>
      <c r="Q537" t="str">
        <f t="shared" si="44"/>
        <v/>
      </c>
      <c r="R537" t="str" cm="1">
        <f t="array" ref="R537">IF(O537,BSCall(swap_curve!$B$20,imvol!M537,imvol!P537,imvol!Q537,YEARFRAC(swap_curve!$C$1,imvol!N537)),"")</f>
        <v/>
      </c>
      <c r="S537" s="20" t="str">
        <f t="shared" si="40"/>
        <v/>
      </c>
    </row>
    <row r="538" spans="1:19" x14ac:dyDescent="0.3">
      <c r="A538" s="23" t="s">
        <v>390</v>
      </c>
      <c r="B538" s="23" t="s">
        <v>391</v>
      </c>
      <c r="C538" s="24" t="s">
        <v>23</v>
      </c>
      <c r="D538" s="24" t="s">
        <v>23</v>
      </c>
      <c r="E538" s="24" t="s">
        <v>23</v>
      </c>
      <c r="F538" s="24" t="s">
        <v>23</v>
      </c>
      <c r="G538" s="24" t="s">
        <v>23</v>
      </c>
      <c r="H538" s="24">
        <v>8</v>
      </c>
      <c r="I538" s="24">
        <v>166.85</v>
      </c>
      <c r="J538" s="25">
        <v>0</v>
      </c>
      <c r="K538" s="25">
        <v>0</v>
      </c>
      <c r="L538" s="25">
        <v>0</v>
      </c>
      <c r="M538" s="18">
        <f t="shared" si="42"/>
        <v>200</v>
      </c>
      <c r="N538" s="19">
        <f t="shared" si="43"/>
        <v>45638</v>
      </c>
      <c r="O538" s="18" t="b">
        <f t="shared" si="41"/>
        <v>0</v>
      </c>
      <c r="P538" s="43" t="str">
        <f>IF(O538,swap_curve!$B$19,"")</f>
        <v/>
      </c>
      <c r="Q538" t="str">
        <f t="shared" si="44"/>
        <v/>
      </c>
      <c r="R538" t="str" cm="1">
        <f t="array" ref="R538">IF(O538,BSCall(swap_curve!$B$20,imvol!M538,imvol!P538,imvol!Q538,YEARFRAC(swap_curve!$C$1,imvol!N538)),"")</f>
        <v/>
      </c>
      <c r="S538" s="20" t="str">
        <f t="shared" si="40"/>
        <v/>
      </c>
    </row>
    <row r="539" spans="1:19" x14ac:dyDescent="0.3">
      <c r="A539" s="23" t="s">
        <v>392</v>
      </c>
      <c r="B539" s="23" t="s">
        <v>393</v>
      </c>
      <c r="C539" s="24" t="s">
        <v>23</v>
      </c>
      <c r="D539" s="24" t="s">
        <v>23</v>
      </c>
      <c r="E539" s="24" t="s">
        <v>23</v>
      </c>
      <c r="F539" s="24" t="s">
        <v>23</v>
      </c>
      <c r="G539" s="24" t="s">
        <v>23</v>
      </c>
      <c r="H539" s="24">
        <v>8</v>
      </c>
      <c r="I539" s="24">
        <v>161.94999999999999</v>
      </c>
      <c r="J539" s="25">
        <v>0</v>
      </c>
      <c r="K539" s="25">
        <v>0</v>
      </c>
      <c r="L539" s="25">
        <v>0</v>
      </c>
      <c r="M539" s="18">
        <f t="shared" si="42"/>
        <v>205</v>
      </c>
      <c r="N539" s="19">
        <f t="shared" si="43"/>
        <v>45638</v>
      </c>
      <c r="O539" s="18" t="b">
        <f t="shared" si="41"/>
        <v>0</v>
      </c>
      <c r="P539" s="43" t="str">
        <f>IF(O539,swap_curve!$B$19,"")</f>
        <v/>
      </c>
      <c r="Q539" t="str">
        <f t="shared" si="44"/>
        <v/>
      </c>
      <c r="R539" t="str" cm="1">
        <f t="array" ref="R539">IF(O539,BSCall(swap_curve!$B$20,imvol!M539,imvol!P539,imvol!Q539,YEARFRAC(swap_curve!$C$1,imvol!N539)),"")</f>
        <v/>
      </c>
      <c r="S539" s="20" t="str">
        <f t="shared" si="40"/>
        <v/>
      </c>
    </row>
    <row r="540" spans="1:19" x14ac:dyDescent="0.3">
      <c r="A540" s="23" t="s">
        <v>394</v>
      </c>
      <c r="B540" s="23" t="s">
        <v>395</v>
      </c>
      <c r="C540" s="24" t="s">
        <v>23</v>
      </c>
      <c r="D540" s="24" t="s">
        <v>23</v>
      </c>
      <c r="E540" s="24" t="s">
        <v>23</v>
      </c>
      <c r="F540" s="24" t="s">
        <v>23</v>
      </c>
      <c r="G540" s="24" t="s">
        <v>23</v>
      </c>
      <c r="H540" s="24">
        <v>8</v>
      </c>
      <c r="I540" s="24">
        <v>157.05000000000001</v>
      </c>
      <c r="J540" s="25">
        <v>0</v>
      </c>
      <c r="K540" s="25">
        <v>0</v>
      </c>
      <c r="L540" s="25">
        <v>0</v>
      </c>
      <c r="M540" s="18">
        <f t="shared" si="42"/>
        <v>210</v>
      </c>
      <c r="N540" s="19">
        <f t="shared" si="43"/>
        <v>45638</v>
      </c>
      <c r="O540" s="18" t="b">
        <f t="shared" si="41"/>
        <v>0</v>
      </c>
      <c r="P540" s="43" t="str">
        <f>IF(O540,swap_curve!$B$19,"")</f>
        <v/>
      </c>
      <c r="Q540" t="str">
        <f t="shared" si="44"/>
        <v/>
      </c>
      <c r="R540" t="str" cm="1">
        <f t="array" ref="R540">IF(O540,BSCall(swap_curve!$B$20,imvol!M540,imvol!P540,imvol!Q540,YEARFRAC(swap_curve!$C$1,imvol!N540)),"")</f>
        <v/>
      </c>
      <c r="S540" s="20" t="str">
        <f t="shared" si="40"/>
        <v/>
      </c>
    </row>
    <row r="541" spans="1:19" x14ac:dyDescent="0.3">
      <c r="A541" s="23" t="s">
        <v>396</v>
      </c>
      <c r="B541" s="23" t="s">
        <v>397</v>
      </c>
      <c r="C541" s="24" t="s">
        <v>23</v>
      </c>
      <c r="D541" s="24" t="s">
        <v>23</v>
      </c>
      <c r="E541" s="24" t="s">
        <v>23</v>
      </c>
      <c r="F541" s="24" t="s">
        <v>23</v>
      </c>
      <c r="G541" s="24" t="s">
        <v>23</v>
      </c>
      <c r="H541" s="24">
        <v>8</v>
      </c>
      <c r="I541" s="24">
        <v>152.15</v>
      </c>
      <c r="J541" s="25">
        <v>0</v>
      </c>
      <c r="K541" s="25">
        <v>0</v>
      </c>
      <c r="L541" s="25">
        <v>0</v>
      </c>
      <c r="M541" s="18">
        <f t="shared" si="42"/>
        <v>215</v>
      </c>
      <c r="N541" s="19">
        <f t="shared" si="43"/>
        <v>45638</v>
      </c>
      <c r="O541" s="18" t="b">
        <f t="shared" si="41"/>
        <v>0</v>
      </c>
      <c r="P541" s="43" t="str">
        <f>IF(O541,swap_curve!$B$19,"")</f>
        <v/>
      </c>
      <c r="Q541" t="str">
        <f t="shared" si="44"/>
        <v/>
      </c>
      <c r="R541" t="str" cm="1">
        <f t="array" ref="R541">IF(O541,BSCall(swap_curve!$B$20,imvol!M541,imvol!P541,imvol!Q541,YEARFRAC(swap_curve!$C$1,imvol!N541)),"")</f>
        <v/>
      </c>
      <c r="S541" s="20" t="str">
        <f t="shared" si="40"/>
        <v/>
      </c>
    </row>
    <row r="542" spans="1:19" x14ac:dyDescent="0.3">
      <c r="A542" s="23" t="s">
        <v>398</v>
      </c>
      <c r="B542" s="23" t="s">
        <v>399</v>
      </c>
      <c r="C542" s="24" t="s">
        <v>23</v>
      </c>
      <c r="D542" s="24" t="s">
        <v>23</v>
      </c>
      <c r="E542" s="24" t="s">
        <v>23</v>
      </c>
      <c r="F542" s="24" t="s">
        <v>23</v>
      </c>
      <c r="G542" s="24" t="s">
        <v>23</v>
      </c>
      <c r="H542" s="24">
        <v>8</v>
      </c>
      <c r="I542" s="24">
        <v>147.25</v>
      </c>
      <c r="J542" s="25">
        <v>0</v>
      </c>
      <c r="K542" s="25">
        <v>0</v>
      </c>
      <c r="L542" s="25">
        <v>0</v>
      </c>
      <c r="M542" s="18">
        <f t="shared" si="42"/>
        <v>220</v>
      </c>
      <c r="N542" s="19">
        <f t="shared" si="43"/>
        <v>45638</v>
      </c>
      <c r="O542" s="18" t="b">
        <f t="shared" si="41"/>
        <v>0</v>
      </c>
      <c r="P542" s="43" t="str">
        <f>IF(O542,swap_curve!$B$19,"")</f>
        <v/>
      </c>
      <c r="Q542" t="str">
        <f t="shared" si="44"/>
        <v/>
      </c>
      <c r="R542" t="str" cm="1">
        <f t="array" ref="R542">IF(O542,BSCall(swap_curve!$B$20,imvol!M542,imvol!P542,imvol!Q542,YEARFRAC(swap_curve!$C$1,imvol!N542)),"")</f>
        <v/>
      </c>
      <c r="S542" s="20" t="str">
        <f t="shared" si="40"/>
        <v/>
      </c>
    </row>
    <row r="543" spans="1:19" x14ac:dyDescent="0.3">
      <c r="A543" s="23" t="s">
        <v>400</v>
      </c>
      <c r="B543" s="23" t="s">
        <v>401</v>
      </c>
      <c r="C543" s="24" t="s">
        <v>23</v>
      </c>
      <c r="D543" s="24" t="s">
        <v>23</v>
      </c>
      <c r="E543" s="24" t="s">
        <v>23</v>
      </c>
      <c r="F543" s="24" t="s">
        <v>23</v>
      </c>
      <c r="G543" s="24" t="s">
        <v>23</v>
      </c>
      <c r="H543" s="24">
        <v>8</v>
      </c>
      <c r="I543" s="24">
        <v>142.4</v>
      </c>
      <c r="J543" s="25">
        <v>0</v>
      </c>
      <c r="K543" s="25">
        <v>0</v>
      </c>
      <c r="L543" s="25">
        <v>0</v>
      </c>
      <c r="M543" s="18">
        <f t="shared" si="42"/>
        <v>225</v>
      </c>
      <c r="N543" s="19">
        <f t="shared" si="43"/>
        <v>45638</v>
      </c>
      <c r="O543" s="18" t="b">
        <f t="shared" si="41"/>
        <v>0</v>
      </c>
      <c r="P543" s="43" t="str">
        <f>IF(O543,swap_curve!$B$19,"")</f>
        <v/>
      </c>
      <c r="Q543" t="str">
        <f t="shared" si="44"/>
        <v/>
      </c>
      <c r="R543" t="str" cm="1">
        <f t="array" ref="R543">IF(O543,BSCall(swap_curve!$B$20,imvol!M543,imvol!P543,imvol!Q543,YEARFRAC(swap_curve!$C$1,imvol!N543)),"")</f>
        <v/>
      </c>
      <c r="S543" s="20" t="str">
        <f t="shared" si="40"/>
        <v/>
      </c>
    </row>
    <row r="544" spans="1:19" x14ac:dyDescent="0.3">
      <c r="A544" s="23" t="s">
        <v>402</v>
      </c>
      <c r="B544" s="23" t="s">
        <v>403</v>
      </c>
      <c r="C544" s="24" t="s">
        <v>23</v>
      </c>
      <c r="D544" s="24" t="s">
        <v>23</v>
      </c>
      <c r="E544" s="24" t="s">
        <v>23</v>
      </c>
      <c r="F544" s="24" t="s">
        <v>23</v>
      </c>
      <c r="G544" s="24" t="s">
        <v>23</v>
      </c>
      <c r="H544" s="24">
        <v>8</v>
      </c>
      <c r="I544" s="24">
        <v>137.5</v>
      </c>
      <c r="J544" s="25">
        <v>0</v>
      </c>
      <c r="K544" s="25">
        <v>0</v>
      </c>
      <c r="L544" s="25">
        <v>5</v>
      </c>
      <c r="M544" s="18">
        <f t="shared" si="42"/>
        <v>230</v>
      </c>
      <c r="N544" s="19">
        <f t="shared" si="43"/>
        <v>45638</v>
      </c>
      <c r="O544" s="18" t="b">
        <f t="shared" si="41"/>
        <v>0</v>
      </c>
      <c r="P544" s="43" t="str">
        <f>IF(O544,swap_curve!$B$19,"")</f>
        <v/>
      </c>
      <c r="Q544" t="str">
        <f t="shared" si="44"/>
        <v/>
      </c>
      <c r="R544" t="str" cm="1">
        <f t="array" ref="R544">IF(O544,BSCall(swap_curve!$B$20,imvol!M544,imvol!P544,imvol!Q544,YEARFRAC(swap_curve!$C$1,imvol!N544)),"")</f>
        <v/>
      </c>
      <c r="S544" s="20" t="str">
        <f t="shared" si="40"/>
        <v/>
      </c>
    </row>
    <row r="545" spans="1:19" x14ac:dyDescent="0.3">
      <c r="A545" s="23" t="s">
        <v>404</v>
      </c>
      <c r="B545" s="23" t="s">
        <v>405</v>
      </c>
      <c r="C545" s="24" t="s">
        <v>23</v>
      </c>
      <c r="D545" s="24" t="s">
        <v>23</v>
      </c>
      <c r="E545" s="24" t="s">
        <v>23</v>
      </c>
      <c r="F545" s="24" t="s">
        <v>23</v>
      </c>
      <c r="G545" s="24" t="s">
        <v>23</v>
      </c>
      <c r="H545" s="24">
        <v>8</v>
      </c>
      <c r="I545" s="24">
        <v>132.6</v>
      </c>
      <c r="J545" s="25">
        <v>0</v>
      </c>
      <c r="K545" s="25">
        <v>0</v>
      </c>
      <c r="L545" s="25">
        <v>0</v>
      </c>
      <c r="M545" s="18">
        <f t="shared" si="42"/>
        <v>235</v>
      </c>
      <c r="N545" s="19">
        <f t="shared" si="43"/>
        <v>45638</v>
      </c>
      <c r="O545" s="18" t="b">
        <f t="shared" si="41"/>
        <v>0</v>
      </c>
      <c r="P545" s="43" t="str">
        <f>IF(O545,swap_curve!$B$19,"")</f>
        <v/>
      </c>
      <c r="Q545" t="str">
        <f t="shared" si="44"/>
        <v/>
      </c>
      <c r="R545" t="str" cm="1">
        <f t="array" ref="R545">IF(O545,BSCall(swap_curve!$B$20,imvol!M545,imvol!P545,imvol!Q545,YEARFRAC(swap_curve!$C$1,imvol!N545)),"")</f>
        <v/>
      </c>
      <c r="S545" s="20" t="str">
        <f t="shared" si="40"/>
        <v/>
      </c>
    </row>
    <row r="546" spans="1:19" x14ac:dyDescent="0.3">
      <c r="A546" s="23" t="s">
        <v>406</v>
      </c>
      <c r="B546" s="23" t="s">
        <v>407</v>
      </c>
      <c r="C546" s="24" t="s">
        <v>23</v>
      </c>
      <c r="D546" s="24" t="s">
        <v>23</v>
      </c>
      <c r="E546" s="24" t="s">
        <v>23</v>
      </c>
      <c r="F546" s="24" t="s">
        <v>23</v>
      </c>
      <c r="G546" s="24" t="s">
        <v>23</v>
      </c>
      <c r="H546" s="24">
        <v>8</v>
      </c>
      <c r="I546" s="24">
        <v>127.7</v>
      </c>
      <c r="J546" s="25">
        <v>0</v>
      </c>
      <c r="K546" s="25">
        <v>0</v>
      </c>
      <c r="L546" s="25">
        <v>0</v>
      </c>
      <c r="M546" s="18">
        <f t="shared" si="42"/>
        <v>240</v>
      </c>
      <c r="N546" s="19">
        <f t="shared" si="43"/>
        <v>45638</v>
      </c>
      <c r="O546" s="18" t="b">
        <f t="shared" si="41"/>
        <v>0</v>
      </c>
      <c r="P546" s="43" t="str">
        <f>IF(O546,swap_curve!$B$19,"")</f>
        <v/>
      </c>
      <c r="Q546" t="str">
        <f t="shared" si="44"/>
        <v/>
      </c>
      <c r="R546" t="str" cm="1">
        <f t="array" ref="R546">IF(O546,BSCall(swap_curve!$B$20,imvol!M546,imvol!P546,imvol!Q546,YEARFRAC(swap_curve!$C$1,imvol!N546)),"")</f>
        <v/>
      </c>
      <c r="S546" s="20" t="str">
        <f t="shared" si="40"/>
        <v/>
      </c>
    </row>
    <row r="547" spans="1:19" x14ac:dyDescent="0.3">
      <c r="A547" s="23" t="s">
        <v>408</v>
      </c>
      <c r="B547" s="23" t="s">
        <v>409</v>
      </c>
      <c r="C547" s="24" t="s">
        <v>23</v>
      </c>
      <c r="D547" s="24" t="s">
        <v>23</v>
      </c>
      <c r="E547" s="24" t="s">
        <v>23</v>
      </c>
      <c r="F547" s="24" t="s">
        <v>23</v>
      </c>
      <c r="G547" s="24" t="s">
        <v>23</v>
      </c>
      <c r="H547" s="24">
        <v>8</v>
      </c>
      <c r="I547" s="24">
        <v>122.8</v>
      </c>
      <c r="J547" s="25">
        <v>0</v>
      </c>
      <c r="K547" s="25">
        <v>0</v>
      </c>
      <c r="L547" s="25">
        <v>0</v>
      </c>
      <c r="M547" s="18">
        <f t="shared" si="42"/>
        <v>245</v>
      </c>
      <c r="N547" s="19">
        <f t="shared" si="43"/>
        <v>45638</v>
      </c>
      <c r="O547" s="18" t="b">
        <f t="shared" si="41"/>
        <v>0</v>
      </c>
      <c r="P547" s="43" t="str">
        <f>IF(O547,swap_curve!$B$19,"")</f>
        <v/>
      </c>
      <c r="Q547" t="str">
        <f t="shared" si="44"/>
        <v/>
      </c>
      <c r="R547" t="str" cm="1">
        <f t="array" ref="R547">IF(O547,BSCall(swap_curve!$B$20,imvol!M547,imvol!P547,imvol!Q547,YEARFRAC(swap_curve!$C$1,imvol!N547)),"")</f>
        <v/>
      </c>
      <c r="S547" s="20" t="str">
        <f t="shared" si="40"/>
        <v/>
      </c>
    </row>
    <row r="548" spans="1:19" x14ac:dyDescent="0.3">
      <c r="A548" s="23" t="s">
        <v>410</v>
      </c>
      <c r="B548" s="23" t="s">
        <v>411</v>
      </c>
      <c r="C548" s="24" t="s">
        <v>23</v>
      </c>
      <c r="D548" s="24" t="s">
        <v>23</v>
      </c>
      <c r="E548" s="24" t="s">
        <v>23</v>
      </c>
      <c r="F548" s="24" t="s">
        <v>23</v>
      </c>
      <c r="G548" s="24" t="s">
        <v>23</v>
      </c>
      <c r="H548" s="24">
        <v>8</v>
      </c>
      <c r="I548" s="24">
        <v>117.95</v>
      </c>
      <c r="J548" s="25">
        <v>0</v>
      </c>
      <c r="K548" s="25">
        <v>0</v>
      </c>
      <c r="L548" s="25">
        <v>603</v>
      </c>
      <c r="M548" s="18">
        <f t="shared" si="42"/>
        <v>250</v>
      </c>
      <c r="N548" s="19">
        <f t="shared" si="43"/>
        <v>45638</v>
      </c>
      <c r="O548" s="18" t="b">
        <f t="shared" si="41"/>
        <v>0</v>
      </c>
      <c r="P548" s="43" t="str">
        <f>IF(O548,swap_curve!$B$19,"")</f>
        <v/>
      </c>
      <c r="Q548" t="str">
        <f t="shared" si="44"/>
        <v/>
      </c>
      <c r="R548" t="str" cm="1">
        <f t="array" ref="R548">IF(O548,BSCall(swap_curve!$B$20,imvol!M548,imvol!P548,imvol!Q548,YEARFRAC(swap_curve!$C$1,imvol!N548)),"")</f>
        <v/>
      </c>
      <c r="S548" s="20" t="str">
        <f t="shared" si="40"/>
        <v/>
      </c>
    </row>
    <row r="549" spans="1:19" x14ac:dyDescent="0.3">
      <c r="A549" s="23" t="s">
        <v>412</v>
      </c>
      <c r="B549" s="23" t="s">
        <v>413</v>
      </c>
      <c r="C549" s="24" t="s">
        <v>23</v>
      </c>
      <c r="D549" s="24" t="s">
        <v>23</v>
      </c>
      <c r="E549" s="24" t="s">
        <v>23</v>
      </c>
      <c r="F549" s="24" t="s">
        <v>23</v>
      </c>
      <c r="G549" s="24" t="s">
        <v>23</v>
      </c>
      <c r="H549" s="24">
        <v>8</v>
      </c>
      <c r="I549" s="24">
        <v>113.05</v>
      </c>
      <c r="J549" s="25">
        <v>0</v>
      </c>
      <c r="K549" s="25">
        <v>0</v>
      </c>
      <c r="L549" s="25">
        <v>0</v>
      </c>
      <c r="M549" s="18">
        <f t="shared" si="42"/>
        <v>255</v>
      </c>
      <c r="N549" s="19">
        <f t="shared" si="43"/>
        <v>45638</v>
      </c>
      <c r="O549" s="18" t="b">
        <f t="shared" si="41"/>
        <v>0</v>
      </c>
      <c r="P549" s="43" t="str">
        <f>IF(O549,swap_curve!$B$19,"")</f>
        <v/>
      </c>
      <c r="Q549" t="str">
        <f t="shared" si="44"/>
        <v/>
      </c>
      <c r="R549" t="str" cm="1">
        <f t="array" ref="R549">IF(O549,BSCall(swap_curve!$B$20,imvol!M549,imvol!P549,imvol!Q549,YEARFRAC(swap_curve!$C$1,imvol!N549)),"")</f>
        <v/>
      </c>
      <c r="S549" s="20" t="str">
        <f t="shared" si="40"/>
        <v/>
      </c>
    </row>
    <row r="550" spans="1:19" x14ac:dyDescent="0.3">
      <c r="A550" s="23" t="s">
        <v>414</v>
      </c>
      <c r="B550" s="23" t="s">
        <v>415</v>
      </c>
      <c r="C550" s="24" t="s">
        <v>23</v>
      </c>
      <c r="D550" s="24" t="s">
        <v>23</v>
      </c>
      <c r="E550" s="24" t="s">
        <v>23</v>
      </c>
      <c r="F550" s="24" t="s">
        <v>23</v>
      </c>
      <c r="G550" s="24" t="s">
        <v>23</v>
      </c>
      <c r="H550" s="24">
        <v>8</v>
      </c>
      <c r="I550" s="24">
        <v>108.15</v>
      </c>
      <c r="J550" s="25">
        <v>0</v>
      </c>
      <c r="K550" s="25">
        <v>0</v>
      </c>
      <c r="L550" s="25">
        <v>0</v>
      </c>
      <c r="M550" s="18">
        <f t="shared" si="42"/>
        <v>260</v>
      </c>
      <c r="N550" s="19">
        <f t="shared" si="43"/>
        <v>45638</v>
      </c>
      <c r="O550" s="18" t="b">
        <f t="shared" si="41"/>
        <v>0</v>
      </c>
      <c r="P550" s="43" t="str">
        <f>IF(O550,swap_curve!$B$19,"")</f>
        <v/>
      </c>
      <c r="Q550" t="str">
        <f t="shared" si="44"/>
        <v/>
      </c>
      <c r="R550" t="str" cm="1">
        <f t="array" ref="R550">IF(O550,BSCall(swap_curve!$B$20,imvol!M550,imvol!P550,imvol!Q550,YEARFRAC(swap_curve!$C$1,imvol!N550)),"")</f>
        <v/>
      </c>
      <c r="S550" s="20" t="str">
        <f t="shared" si="40"/>
        <v/>
      </c>
    </row>
    <row r="551" spans="1:19" x14ac:dyDescent="0.3">
      <c r="A551" s="23" t="s">
        <v>416</v>
      </c>
      <c r="B551" s="23" t="s">
        <v>417</v>
      </c>
      <c r="C551" s="24" t="s">
        <v>23</v>
      </c>
      <c r="D551" s="24" t="s">
        <v>23</v>
      </c>
      <c r="E551" s="24" t="s">
        <v>23</v>
      </c>
      <c r="F551" s="24" t="s">
        <v>23</v>
      </c>
      <c r="G551" s="24" t="s">
        <v>23</v>
      </c>
      <c r="H551" s="24">
        <v>8</v>
      </c>
      <c r="I551" s="24">
        <v>103.25</v>
      </c>
      <c r="J551" s="25">
        <v>0</v>
      </c>
      <c r="K551" s="25">
        <v>0</v>
      </c>
      <c r="L551" s="25">
        <v>0</v>
      </c>
      <c r="M551" s="18">
        <f t="shared" si="42"/>
        <v>265</v>
      </c>
      <c r="N551" s="19">
        <f t="shared" si="43"/>
        <v>45638</v>
      </c>
      <c r="O551" s="18" t="b">
        <f t="shared" si="41"/>
        <v>0</v>
      </c>
      <c r="P551" s="43" t="str">
        <f>IF(O551,swap_curve!$B$19,"")</f>
        <v/>
      </c>
      <c r="Q551" t="str">
        <f t="shared" si="44"/>
        <v/>
      </c>
      <c r="R551" t="str" cm="1">
        <f t="array" ref="R551">IF(O551,BSCall(swap_curve!$B$20,imvol!M551,imvol!P551,imvol!Q551,YEARFRAC(swap_curve!$C$1,imvol!N551)),"")</f>
        <v/>
      </c>
      <c r="S551" s="20" t="str">
        <f t="shared" si="40"/>
        <v/>
      </c>
    </row>
    <row r="552" spans="1:19" x14ac:dyDescent="0.3">
      <c r="A552" s="23" t="s">
        <v>418</v>
      </c>
      <c r="B552" s="23" t="s">
        <v>419</v>
      </c>
      <c r="C552" s="24" t="s">
        <v>23</v>
      </c>
      <c r="D552" s="24" t="s">
        <v>23</v>
      </c>
      <c r="E552" s="24" t="s">
        <v>23</v>
      </c>
      <c r="F552" s="24" t="s">
        <v>23</v>
      </c>
      <c r="G552" s="24" t="s">
        <v>23</v>
      </c>
      <c r="H552" s="24">
        <v>8</v>
      </c>
      <c r="I552" s="24">
        <v>98.35</v>
      </c>
      <c r="J552" s="25">
        <v>0</v>
      </c>
      <c r="K552" s="25">
        <v>0</v>
      </c>
      <c r="L552" s="25">
        <v>17</v>
      </c>
      <c r="M552" s="18">
        <f t="shared" si="42"/>
        <v>270</v>
      </c>
      <c r="N552" s="19">
        <f t="shared" si="43"/>
        <v>45638</v>
      </c>
      <c r="O552" s="18" t="b">
        <f t="shared" si="41"/>
        <v>0</v>
      </c>
      <c r="P552" s="43" t="str">
        <f>IF(O552,swap_curve!$B$19,"")</f>
        <v/>
      </c>
      <c r="Q552" t="str">
        <f t="shared" si="44"/>
        <v/>
      </c>
      <c r="R552" t="str" cm="1">
        <f t="array" ref="R552">IF(O552,BSCall(swap_curve!$B$20,imvol!M552,imvol!P552,imvol!Q552,YEARFRAC(swap_curve!$C$1,imvol!N552)),"")</f>
        <v/>
      </c>
      <c r="S552" s="20" t="str">
        <f t="shared" si="40"/>
        <v/>
      </c>
    </row>
    <row r="553" spans="1:19" x14ac:dyDescent="0.3">
      <c r="A553" s="23" t="s">
        <v>420</v>
      </c>
      <c r="B553" s="23" t="s">
        <v>421</v>
      </c>
      <c r="C553" s="24" t="s">
        <v>23</v>
      </c>
      <c r="D553" s="24" t="s">
        <v>23</v>
      </c>
      <c r="E553" s="24" t="s">
        <v>23</v>
      </c>
      <c r="F553" s="24" t="s">
        <v>23</v>
      </c>
      <c r="G553" s="24" t="s">
        <v>23</v>
      </c>
      <c r="H553" s="24">
        <v>8</v>
      </c>
      <c r="I553" s="24">
        <v>93.5</v>
      </c>
      <c r="J553" s="25">
        <v>0</v>
      </c>
      <c r="K553" s="25">
        <v>0</v>
      </c>
      <c r="L553" s="25">
        <v>0</v>
      </c>
      <c r="M553" s="18">
        <f t="shared" si="42"/>
        <v>275</v>
      </c>
      <c r="N553" s="19">
        <f t="shared" si="43"/>
        <v>45638</v>
      </c>
      <c r="O553" s="18" t="b">
        <f t="shared" si="41"/>
        <v>0</v>
      </c>
      <c r="P553" s="43" t="str">
        <f>IF(O553,swap_curve!$B$19,"")</f>
        <v/>
      </c>
      <c r="Q553" t="str">
        <f t="shared" si="44"/>
        <v/>
      </c>
      <c r="R553" t="str" cm="1">
        <f t="array" ref="R553">IF(O553,BSCall(swap_curve!$B$20,imvol!M553,imvol!P553,imvol!Q553,YEARFRAC(swap_curve!$C$1,imvol!N553)),"")</f>
        <v/>
      </c>
      <c r="S553" s="20" t="str">
        <f t="shared" si="40"/>
        <v/>
      </c>
    </row>
    <row r="554" spans="1:19" x14ac:dyDescent="0.3">
      <c r="A554" s="23" t="s">
        <v>422</v>
      </c>
      <c r="B554" s="23" t="s">
        <v>423</v>
      </c>
      <c r="C554" s="24" t="s">
        <v>23</v>
      </c>
      <c r="D554" s="24" t="s">
        <v>23</v>
      </c>
      <c r="E554" s="24" t="s">
        <v>23</v>
      </c>
      <c r="F554" s="24" t="s">
        <v>23</v>
      </c>
      <c r="G554" s="24" t="s">
        <v>23</v>
      </c>
      <c r="H554" s="24">
        <v>8</v>
      </c>
      <c r="I554" s="24">
        <v>88.6</v>
      </c>
      <c r="J554" s="25">
        <v>0</v>
      </c>
      <c r="K554" s="25">
        <v>0</v>
      </c>
      <c r="L554" s="25">
        <v>3</v>
      </c>
      <c r="M554" s="18">
        <f t="shared" si="42"/>
        <v>280</v>
      </c>
      <c r="N554" s="19">
        <f t="shared" si="43"/>
        <v>45638</v>
      </c>
      <c r="O554" s="18" t="b">
        <f t="shared" si="41"/>
        <v>0</v>
      </c>
      <c r="P554" s="43" t="str">
        <f>IF(O554,swap_curve!$B$19,"")</f>
        <v/>
      </c>
      <c r="Q554" t="str">
        <f t="shared" si="44"/>
        <v/>
      </c>
      <c r="R554" t="str" cm="1">
        <f t="array" ref="R554">IF(O554,BSCall(swap_curve!$B$20,imvol!M554,imvol!P554,imvol!Q554,YEARFRAC(swap_curve!$C$1,imvol!N554)),"")</f>
        <v/>
      </c>
      <c r="S554" s="20" t="str">
        <f t="shared" si="40"/>
        <v/>
      </c>
    </row>
    <row r="555" spans="1:19" x14ac:dyDescent="0.3">
      <c r="A555" s="23" t="s">
        <v>424</v>
      </c>
      <c r="B555" s="23" t="s">
        <v>425</v>
      </c>
      <c r="C555" s="24" t="s">
        <v>23</v>
      </c>
      <c r="D555" s="24" t="s">
        <v>23</v>
      </c>
      <c r="E555" s="24" t="s">
        <v>23</v>
      </c>
      <c r="F555" s="24" t="s">
        <v>23</v>
      </c>
      <c r="G555" s="24" t="s">
        <v>23</v>
      </c>
      <c r="H555" s="24">
        <v>8</v>
      </c>
      <c r="I555" s="24">
        <v>83.7</v>
      </c>
      <c r="J555" s="25">
        <v>0</v>
      </c>
      <c r="K555" s="25">
        <v>0</v>
      </c>
      <c r="L555" s="25">
        <v>0</v>
      </c>
      <c r="M555" s="18">
        <f t="shared" si="42"/>
        <v>285</v>
      </c>
      <c r="N555" s="19">
        <f t="shared" si="43"/>
        <v>45638</v>
      </c>
      <c r="O555" s="18" t="b">
        <f t="shared" si="41"/>
        <v>0</v>
      </c>
      <c r="P555" s="43" t="str">
        <f>IF(O555,swap_curve!$B$19,"")</f>
        <v/>
      </c>
      <c r="Q555" t="str">
        <f t="shared" si="44"/>
        <v/>
      </c>
      <c r="R555" t="str" cm="1">
        <f t="array" ref="R555">IF(O555,BSCall(swap_curve!$B$20,imvol!M555,imvol!P555,imvol!Q555,YEARFRAC(swap_curve!$C$1,imvol!N555)),"")</f>
        <v/>
      </c>
      <c r="S555" s="20" t="str">
        <f t="shared" si="40"/>
        <v/>
      </c>
    </row>
    <row r="556" spans="1:19" x14ac:dyDescent="0.3">
      <c r="A556" s="23" t="s">
        <v>426</v>
      </c>
      <c r="B556" s="23" t="s">
        <v>427</v>
      </c>
      <c r="C556" s="24">
        <v>78</v>
      </c>
      <c r="D556" s="24">
        <v>3</v>
      </c>
      <c r="E556" s="24">
        <v>78</v>
      </c>
      <c r="F556" s="24">
        <v>78</v>
      </c>
      <c r="G556" s="24">
        <v>78</v>
      </c>
      <c r="H556" s="24">
        <v>8</v>
      </c>
      <c r="I556" s="24">
        <v>78</v>
      </c>
      <c r="J556" s="25">
        <v>1</v>
      </c>
      <c r="K556" s="25">
        <v>20</v>
      </c>
      <c r="L556" s="25">
        <v>183</v>
      </c>
      <c r="M556" s="18">
        <f t="shared" si="42"/>
        <v>290</v>
      </c>
      <c r="N556" s="19">
        <f t="shared" si="43"/>
        <v>45638</v>
      </c>
      <c r="O556" s="18" t="b">
        <f t="shared" si="41"/>
        <v>0</v>
      </c>
      <c r="P556" s="43" t="str">
        <f>IF(O556,swap_curve!$B$19,"")</f>
        <v/>
      </c>
      <c r="Q556" t="str">
        <f t="shared" si="44"/>
        <v/>
      </c>
      <c r="R556" t="str" cm="1">
        <f t="array" ref="R556">IF(O556,BSCall(swap_curve!$B$20,imvol!M556,imvol!P556,imvol!Q556,YEARFRAC(swap_curve!$C$1,imvol!N556)),"")</f>
        <v/>
      </c>
      <c r="S556" s="20" t="str">
        <f t="shared" si="40"/>
        <v/>
      </c>
    </row>
    <row r="557" spans="1:19" x14ac:dyDescent="0.3">
      <c r="A557" s="23" t="s">
        <v>428</v>
      </c>
      <c r="B557" s="23" t="s">
        <v>429</v>
      </c>
      <c r="C557" s="24" t="s">
        <v>23</v>
      </c>
      <c r="D557" s="24" t="s">
        <v>23</v>
      </c>
      <c r="E557" s="24" t="s">
        <v>23</v>
      </c>
      <c r="F557" s="24" t="s">
        <v>23</v>
      </c>
      <c r="G557" s="24" t="s">
        <v>23</v>
      </c>
      <c r="H557" s="24">
        <v>8.61</v>
      </c>
      <c r="I557" s="24">
        <v>73.900000000000006</v>
      </c>
      <c r="J557" s="25">
        <v>0</v>
      </c>
      <c r="K557" s="25">
        <v>0</v>
      </c>
      <c r="L557" s="25">
        <v>0</v>
      </c>
      <c r="M557" s="18">
        <f t="shared" si="42"/>
        <v>295</v>
      </c>
      <c r="N557" s="19">
        <f t="shared" si="43"/>
        <v>45638</v>
      </c>
      <c r="O557" s="18" t="b">
        <f t="shared" si="41"/>
        <v>0</v>
      </c>
      <c r="P557" s="43" t="str">
        <f>IF(O557,swap_curve!$B$19,"")</f>
        <v/>
      </c>
      <c r="Q557" t="str">
        <f t="shared" si="44"/>
        <v/>
      </c>
      <c r="R557" t="str" cm="1">
        <f t="array" ref="R557">IF(O557,BSCall(swap_curve!$B$20,imvol!M557,imvol!P557,imvol!Q557,YEARFRAC(swap_curve!$C$1,imvol!N557)),"")</f>
        <v/>
      </c>
      <c r="S557" s="20" t="str">
        <f t="shared" si="40"/>
        <v/>
      </c>
    </row>
    <row r="558" spans="1:19" x14ac:dyDescent="0.3">
      <c r="A558" s="23" t="s">
        <v>430</v>
      </c>
      <c r="B558" s="23" t="s">
        <v>431</v>
      </c>
      <c r="C558" s="24" t="s">
        <v>23</v>
      </c>
      <c r="D558" s="24" t="s">
        <v>23</v>
      </c>
      <c r="E558" s="24" t="s">
        <v>23</v>
      </c>
      <c r="F558" s="24" t="s">
        <v>23</v>
      </c>
      <c r="G558" s="24" t="s">
        <v>23</v>
      </c>
      <c r="H558" s="24">
        <v>9.23</v>
      </c>
      <c r="I558" s="24">
        <v>69.05</v>
      </c>
      <c r="J558" s="25">
        <v>0</v>
      </c>
      <c r="K558" s="25">
        <v>0</v>
      </c>
      <c r="L558" s="25">
        <v>2013</v>
      </c>
      <c r="M558" s="18">
        <f t="shared" si="42"/>
        <v>300</v>
      </c>
      <c r="N558" s="19">
        <f t="shared" si="43"/>
        <v>45638</v>
      </c>
      <c r="O558" s="18" t="b">
        <f t="shared" si="41"/>
        <v>0</v>
      </c>
      <c r="P558" s="43" t="str">
        <f>IF(O558,swap_curve!$B$19,"")</f>
        <v/>
      </c>
      <c r="Q558" t="str">
        <f t="shared" si="44"/>
        <v/>
      </c>
      <c r="R558" t="str" cm="1">
        <f t="array" ref="R558">IF(O558,BSCall(swap_curve!$B$20,imvol!M558,imvol!P558,imvol!Q558,YEARFRAC(swap_curve!$C$1,imvol!N558)),"")</f>
        <v/>
      </c>
      <c r="S558" s="20" t="str">
        <f t="shared" si="40"/>
        <v/>
      </c>
    </row>
    <row r="559" spans="1:19" x14ac:dyDescent="0.3">
      <c r="A559" s="23" t="s">
        <v>432</v>
      </c>
      <c r="B559" s="23" t="s">
        <v>433</v>
      </c>
      <c r="C559" s="24" t="s">
        <v>23</v>
      </c>
      <c r="D559" s="24" t="s">
        <v>23</v>
      </c>
      <c r="E559" s="24" t="s">
        <v>23</v>
      </c>
      <c r="F559" s="24" t="s">
        <v>23</v>
      </c>
      <c r="G559" s="24" t="s">
        <v>23</v>
      </c>
      <c r="H559" s="24">
        <v>9.85</v>
      </c>
      <c r="I559" s="24">
        <v>64.2</v>
      </c>
      <c r="J559" s="25">
        <v>0</v>
      </c>
      <c r="K559" s="25">
        <v>0</v>
      </c>
      <c r="L559" s="25">
        <v>0</v>
      </c>
      <c r="M559" s="18">
        <f t="shared" si="42"/>
        <v>305</v>
      </c>
      <c r="N559" s="19">
        <f t="shared" si="43"/>
        <v>45638</v>
      </c>
      <c r="O559" s="18" t="b">
        <f t="shared" si="41"/>
        <v>0</v>
      </c>
      <c r="P559" s="43" t="str">
        <f>IF(O559,swap_curve!$B$19,"")</f>
        <v/>
      </c>
      <c r="Q559" t="str">
        <f t="shared" si="44"/>
        <v/>
      </c>
      <c r="R559" t="str" cm="1">
        <f t="array" ref="R559">IF(O559,BSCall(swap_curve!$B$20,imvol!M559,imvol!P559,imvol!Q559,YEARFRAC(swap_curve!$C$1,imvol!N559)),"")</f>
        <v/>
      </c>
      <c r="S559" s="20" t="str">
        <f t="shared" si="40"/>
        <v/>
      </c>
    </row>
    <row r="560" spans="1:19" x14ac:dyDescent="0.3">
      <c r="A560" s="23" t="s">
        <v>434</v>
      </c>
      <c r="B560" s="23" t="s">
        <v>435</v>
      </c>
      <c r="C560" s="24" t="s">
        <v>23</v>
      </c>
      <c r="D560" s="24" t="s">
        <v>23</v>
      </c>
      <c r="E560" s="24" t="s">
        <v>23</v>
      </c>
      <c r="F560" s="24" t="s">
        <v>23</v>
      </c>
      <c r="G560" s="24" t="s">
        <v>23</v>
      </c>
      <c r="H560" s="24">
        <v>10.47</v>
      </c>
      <c r="I560" s="24">
        <v>59.4</v>
      </c>
      <c r="J560" s="25">
        <v>0</v>
      </c>
      <c r="K560" s="25">
        <v>0</v>
      </c>
      <c r="L560" s="25">
        <v>4806</v>
      </c>
      <c r="M560" s="18">
        <f t="shared" si="42"/>
        <v>310</v>
      </c>
      <c r="N560" s="19">
        <f t="shared" si="43"/>
        <v>45638</v>
      </c>
      <c r="O560" s="18" t="b">
        <f t="shared" si="41"/>
        <v>0</v>
      </c>
      <c r="P560" s="43" t="str">
        <f>IF(O560,swap_curve!$B$19,"")</f>
        <v/>
      </c>
      <c r="Q560" t="str">
        <f t="shared" si="44"/>
        <v/>
      </c>
      <c r="R560" t="str" cm="1">
        <f t="array" ref="R560">IF(O560,BSCall(swap_curve!$B$20,imvol!M560,imvol!P560,imvol!Q560,YEARFRAC(swap_curve!$C$1,imvol!N560)),"")</f>
        <v/>
      </c>
      <c r="S560" s="20" t="str">
        <f t="shared" si="40"/>
        <v/>
      </c>
    </row>
    <row r="561" spans="1:19" x14ac:dyDescent="0.3">
      <c r="A561" s="23" t="s">
        <v>436</v>
      </c>
      <c r="B561" s="23" t="s">
        <v>437</v>
      </c>
      <c r="C561" s="24" t="s">
        <v>23</v>
      </c>
      <c r="D561" s="24" t="s">
        <v>23</v>
      </c>
      <c r="E561" s="24" t="s">
        <v>23</v>
      </c>
      <c r="F561" s="24" t="s">
        <v>23</v>
      </c>
      <c r="G561" s="24" t="s">
        <v>23</v>
      </c>
      <c r="H561" s="24">
        <v>11.09</v>
      </c>
      <c r="I561" s="24">
        <v>54.7</v>
      </c>
      <c r="J561" s="25">
        <v>0</v>
      </c>
      <c r="K561" s="25">
        <v>0</v>
      </c>
      <c r="L561" s="25">
        <v>0</v>
      </c>
      <c r="M561" s="18">
        <f t="shared" si="42"/>
        <v>315</v>
      </c>
      <c r="N561" s="19">
        <f t="shared" si="43"/>
        <v>45638</v>
      </c>
      <c r="O561" s="18" t="b">
        <f t="shared" si="41"/>
        <v>0</v>
      </c>
      <c r="P561" s="43" t="str">
        <f>IF(O561,swap_curve!$B$19,"")</f>
        <v/>
      </c>
      <c r="Q561" t="str">
        <f t="shared" si="44"/>
        <v/>
      </c>
      <c r="R561" t="str" cm="1">
        <f t="array" ref="R561">IF(O561,BSCall(swap_curve!$B$20,imvol!M561,imvol!P561,imvol!Q561,YEARFRAC(swap_curve!$C$1,imvol!N561)),"")</f>
        <v/>
      </c>
      <c r="S561" s="20" t="str">
        <f t="shared" si="40"/>
        <v/>
      </c>
    </row>
    <row r="562" spans="1:19" x14ac:dyDescent="0.3">
      <c r="A562" s="23" t="s">
        <v>438</v>
      </c>
      <c r="B562" s="23" t="s">
        <v>439</v>
      </c>
      <c r="C562" s="24" t="s">
        <v>23</v>
      </c>
      <c r="D562" s="24" t="s">
        <v>23</v>
      </c>
      <c r="E562" s="24" t="s">
        <v>23</v>
      </c>
      <c r="F562" s="24" t="s">
        <v>23</v>
      </c>
      <c r="G562" s="24" t="s">
        <v>23</v>
      </c>
      <c r="H562" s="24">
        <v>11.71</v>
      </c>
      <c r="I562" s="24">
        <v>50.2</v>
      </c>
      <c r="J562" s="25">
        <v>0</v>
      </c>
      <c r="K562" s="25">
        <v>0</v>
      </c>
      <c r="L562" s="25">
        <v>3202</v>
      </c>
      <c r="M562" s="18">
        <f t="shared" si="42"/>
        <v>320</v>
      </c>
      <c r="N562" s="19">
        <f t="shared" si="43"/>
        <v>45638</v>
      </c>
      <c r="O562" s="18" t="b">
        <f t="shared" si="41"/>
        <v>0</v>
      </c>
      <c r="P562" s="43" t="str">
        <f>IF(O562,swap_curve!$B$19,"")</f>
        <v/>
      </c>
      <c r="Q562" t="str">
        <f t="shared" si="44"/>
        <v/>
      </c>
      <c r="R562" t="str" cm="1">
        <f t="array" ref="R562">IF(O562,BSCall(swap_curve!$B$20,imvol!M562,imvol!P562,imvol!Q562,YEARFRAC(swap_curve!$C$1,imvol!N562)),"")</f>
        <v/>
      </c>
      <c r="S562" s="20" t="str">
        <f t="shared" si="40"/>
        <v/>
      </c>
    </row>
    <row r="563" spans="1:19" x14ac:dyDescent="0.3">
      <c r="A563" s="23" t="s">
        <v>440</v>
      </c>
      <c r="B563" s="23" t="s">
        <v>441</v>
      </c>
      <c r="C563" s="24" t="s">
        <v>23</v>
      </c>
      <c r="D563" s="24" t="s">
        <v>23</v>
      </c>
      <c r="E563" s="24" t="s">
        <v>23</v>
      </c>
      <c r="F563" s="24" t="s">
        <v>23</v>
      </c>
      <c r="G563" s="24" t="s">
        <v>23</v>
      </c>
      <c r="H563" s="24">
        <v>12.33</v>
      </c>
      <c r="I563" s="24">
        <v>45.95</v>
      </c>
      <c r="J563" s="25">
        <v>0</v>
      </c>
      <c r="K563" s="25">
        <v>0</v>
      </c>
      <c r="L563" s="25">
        <v>0</v>
      </c>
      <c r="M563" s="18">
        <f t="shared" si="42"/>
        <v>325</v>
      </c>
      <c r="N563" s="19">
        <f t="shared" si="43"/>
        <v>45638</v>
      </c>
      <c r="O563" s="18" t="b">
        <f t="shared" si="41"/>
        <v>0</v>
      </c>
      <c r="P563" s="43" t="str">
        <f>IF(O563,swap_curve!$B$19,"")</f>
        <v/>
      </c>
      <c r="Q563" t="str">
        <f t="shared" si="44"/>
        <v/>
      </c>
      <c r="R563" t="str" cm="1">
        <f t="array" ref="R563">IF(O563,BSCall(swap_curve!$B$20,imvol!M563,imvol!P563,imvol!Q563,YEARFRAC(swap_curve!$C$1,imvol!N563)),"")</f>
        <v/>
      </c>
      <c r="S563" s="20" t="str">
        <f t="shared" si="40"/>
        <v/>
      </c>
    </row>
    <row r="564" spans="1:19" x14ac:dyDescent="0.3">
      <c r="A564" s="23" t="s">
        <v>442</v>
      </c>
      <c r="B564" s="23" t="s">
        <v>443</v>
      </c>
      <c r="C564" s="24" t="s">
        <v>23</v>
      </c>
      <c r="D564" s="24" t="s">
        <v>23</v>
      </c>
      <c r="E564" s="24" t="s">
        <v>23</v>
      </c>
      <c r="F564" s="24" t="s">
        <v>23</v>
      </c>
      <c r="G564" s="24" t="s">
        <v>23</v>
      </c>
      <c r="H564" s="24">
        <v>12.95</v>
      </c>
      <c r="I564" s="24">
        <v>41.95</v>
      </c>
      <c r="J564" s="25">
        <v>0</v>
      </c>
      <c r="K564" s="25">
        <v>0</v>
      </c>
      <c r="L564" s="25">
        <v>3202</v>
      </c>
      <c r="M564" s="18">
        <f t="shared" si="42"/>
        <v>330</v>
      </c>
      <c r="N564" s="19">
        <f t="shared" si="43"/>
        <v>45638</v>
      </c>
      <c r="O564" s="18" t="b">
        <f t="shared" si="41"/>
        <v>0</v>
      </c>
      <c r="P564" s="43" t="str">
        <f>IF(O564,swap_curve!$B$19,"")</f>
        <v/>
      </c>
      <c r="Q564" t="str">
        <f t="shared" si="44"/>
        <v/>
      </c>
      <c r="R564" t="str" cm="1">
        <f t="array" ref="R564">IF(O564,BSCall(swap_curve!$B$20,imvol!M564,imvol!P564,imvol!Q564,YEARFRAC(swap_curve!$C$1,imvol!N564)),"")</f>
        <v/>
      </c>
      <c r="S564" s="20" t="str">
        <f t="shared" si="40"/>
        <v/>
      </c>
    </row>
    <row r="565" spans="1:19" x14ac:dyDescent="0.3">
      <c r="A565" s="23" t="s">
        <v>444</v>
      </c>
      <c r="B565" s="23" t="s">
        <v>445</v>
      </c>
      <c r="C565" s="24" t="s">
        <v>23</v>
      </c>
      <c r="D565" s="24" t="s">
        <v>23</v>
      </c>
      <c r="E565" s="24" t="s">
        <v>23</v>
      </c>
      <c r="F565" s="24" t="s">
        <v>23</v>
      </c>
      <c r="G565" s="24" t="s">
        <v>23</v>
      </c>
      <c r="H565" s="24">
        <v>13.56</v>
      </c>
      <c r="I565" s="24">
        <v>38.200000000000003</v>
      </c>
      <c r="J565" s="25">
        <v>0</v>
      </c>
      <c r="K565" s="25">
        <v>0</v>
      </c>
      <c r="L565" s="25">
        <v>7</v>
      </c>
      <c r="M565" s="18">
        <f t="shared" si="42"/>
        <v>335</v>
      </c>
      <c r="N565" s="19">
        <f t="shared" si="43"/>
        <v>45638</v>
      </c>
      <c r="O565" s="18" t="b">
        <f t="shared" si="41"/>
        <v>0</v>
      </c>
      <c r="P565" s="43" t="str">
        <f>IF(O565,swap_curve!$B$19,"")</f>
        <v/>
      </c>
      <c r="Q565" t="str">
        <f t="shared" si="44"/>
        <v/>
      </c>
      <c r="R565" t="str" cm="1">
        <f t="array" ref="R565">IF(O565,BSCall(swap_curve!$B$20,imvol!M565,imvol!P565,imvol!Q565,YEARFRAC(swap_curve!$C$1,imvol!N565)),"")</f>
        <v/>
      </c>
      <c r="S565" s="20" t="str">
        <f t="shared" si="40"/>
        <v/>
      </c>
    </row>
    <row r="566" spans="1:19" x14ac:dyDescent="0.3">
      <c r="A566" s="23" t="s">
        <v>446</v>
      </c>
      <c r="B566" s="23" t="s">
        <v>447</v>
      </c>
      <c r="C566" s="24" t="s">
        <v>23</v>
      </c>
      <c r="D566" s="24" t="s">
        <v>23</v>
      </c>
      <c r="E566" s="24" t="s">
        <v>23</v>
      </c>
      <c r="F566" s="24" t="s">
        <v>23</v>
      </c>
      <c r="G566" s="24" t="s">
        <v>23</v>
      </c>
      <c r="H566" s="24">
        <v>14.18</v>
      </c>
      <c r="I566" s="24">
        <v>34.9</v>
      </c>
      <c r="J566" s="25">
        <v>0</v>
      </c>
      <c r="K566" s="25">
        <v>0</v>
      </c>
      <c r="L566" s="25">
        <v>7364</v>
      </c>
      <c r="M566" s="18">
        <f t="shared" si="42"/>
        <v>340</v>
      </c>
      <c r="N566" s="19">
        <f t="shared" si="43"/>
        <v>45638</v>
      </c>
      <c r="O566" s="18" t="b">
        <f t="shared" si="41"/>
        <v>0</v>
      </c>
      <c r="P566" s="43" t="str">
        <f>IF(O566,swap_curve!$B$19,"")</f>
        <v/>
      </c>
      <c r="Q566" t="str">
        <f t="shared" si="44"/>
        <v/>
      </c>
      <c r="R566" t="str" cm="1">
        <f t="array" ref="R566">IF(O566,BSCall(swap_curve!$B$20,imvol!M566,imvol!P566,imvol!Q566,YEARFRAC(swap_curve!$C$1,imvol!N566)),"")</f>
        <v/>
      </c>
      <c r="S566" s="20" t="str">
        <f t="shared" si="40"/>
        <v/>
      </c>
    </row>
    <row r="567" spans="1:19" x14ac:dyDescent="0.3">
      <c r="A567" s="23" t="s">
        <v>448</v>
      </c>
      <c r="B567" s="23" t="s">
        <v>449</v>
      </c>
      <c r="C567" s="24" t="s">
        <v>23</v>
      </c>
      <c r="D567" s="24" t="s">
        <v>23</v>
      </c>
      <c r="E567" s="24" t="s">
        <v>23</v>
      </c>
      <c r="F567" s="24" t="s">
        <v>23</v>
      </c>
      <c r="G567" s="24" t="s">
        <v>23</v>
      </c>
      <c r="H567" s="24">
        <v>14.8</v>
      </c>
      <c r="I567" s="24">
        <v>31.7</v>
      </c>
      <c r="J567" s="25">
        <v>0</v>
      </c>
      <c r="K567" s="25">
        <v>0</v>
      </c>
      <c r="L567" s="25">
        <v>820</v>
      </c>
      <c r="M567" s="18">
        <f t="shared" si="42"/>
        <v>345</v>
      </c>
      <c r="N567" s="19">
        <f t="shared" si="43"/>
        <v>45638</v>
      </c>
      <c r="O567" s="18" t="b">
        <f t="shared" si="41"/>
        <v>0</v>
      </c>
      <c r="P567" s="43" t="str">
        <f>IF(O567,swap_curve!$B$19,"")</f>
        <v/>
      </c>
      <c r="Q567" t="str">
        <f t="shared" si="44"/>
        <v/>
      </c>
      <c r="R567" t="str" cm="1">
        <f t="array" ref="R567">IF(O567,BSCall(swap_curve!$B$20,imvol!M567,imvol!P567,imvol!Q567,YEARFRAC(swap_curve!$C$1,imvol!N567)),"")</f>
        <v/>
      </c>
      <c r="S567" s="20" t="str">
        <f t="shared" si="40"/>
        <v/>
      </c>
    </row>
    <row r="568" spans="1:19" x14ac:dyDescent="0.3">
      <c r="A568" s="23" t="s">
        <v>450</v>
      </c>
      <c r="B568" s="23" t="s">
        <v>451</v>
      </c>
      <c r="C568" s="24" t="s">
        <v>23</v>
      </c>
      <c r="D568" s="24" t="s">
        <v>23</v>
      </c>
      <c r="E568" s="24" t="s">
        <v>23</v>
      </c>
      <c r="F568" s="24" t="s">
        <v>23</v>
      </c>
      <c r="G568" s="24" t="s">
        <v>23</v>
      </c>
      <c r="H568" s="24">
        <v>15.42</v>
      </c>
      <c r="I568" s="24">
        <v>29.05</v>
      </c>
      <c r="J568" s="25">
        <v>0</v>
      </c>
      <c r="K568" s="25">
        <v>0</v>
      </c>
      <c r="L568" s="25">
        <v>6856</v>
      </c>
      <c r="M568" s="18">
        <f t="shared" si="42"/>
        <v>350</v>
      </c>
      <c r="N568" s="19">
        <f t="shared" si="43"/>
        <v>45638</v>
      </c>
      <c r="O568" s="18" t="b">
        <f t="shared" si="41"/>
        <v>0</v>
      </c>
      <c r="P568" s="43" t="str">
        <f>IF(O568,swap_curve!$B$19,"")</f>
        <v/>
      </c>
      <c r="Q568" t="str">
        <f t="shared" si="44"/>
        <v/>
      </c>
      <c r="R568" t="str" cm="1">
        <f t="array" ref="R568">IF(O568,BSCall(swap_curve!$B$20,imvol!M568,imvol!P568,imvol!Q568,YEARFRAC(swap_curve!$C$1,imvol!N568)),"")</f>
        <v/>
      </c>
      <c r="S568" s="20" t="str">
        <f t="shared" si="40"/>
        <v/>
      </c>
    </row>
    <row r="569" spans="1:19" x14ac:dyDescent="0.3">
      <c r="A569" s="23" t="s">
        <v>452</v>
      </c>
      <c r="B569" s="23" t="s">
        <v>453</v>
      </c>
      <c r="C569" s="24" t="s">
        <v>23</v>
      </c>
      <c r="D569" s="24" t="s">
        <v>23</v>
      </c>
      <c r="E569" s="24" t="s">
        <v>23</v>
      </c>
      <c r="F569" s="24" t="s">
        <v>23</v>
      </c>
      <c r="G569" s="24" t="s">
        <v>23</v>
      </c>
      <c r="H569" s="24">
        <v>16.04</v>
      </c>
      <c r="I569" s="24">
        <v>26.5</v>
      </c>
      <c r="J569" s="25">
        <v>0</v>
      </c>
      <c r="K569" s="25">
        <v>0</v>
      </c>
      <c r="L569" s="25">
        <v>825</v>
      </c>
      <c r="M569" s="18">
        <f t="shared" si="42"/>
        <v>355</v>
      </c>
      <c r="N569" s="19">
        <f t="shared" si="43"/>
        <v>45638</v>
      </c>
      <c r="O569" s="18" t="b">
        <f t="shared" si="41"/>
        <v>0</v>
      </c>
      <c r="P569" s="43" t="str">
        <f>IF(O569,swap_curve!$B$19,"")</f>
        <v/>
      </c>
      <c r="Q569" t="str">
        <f t="shared" si="44"/>
        <v/>
      </c>
      <c r="R569" t="str" cm="1">
        <f t="array" ref="R569">IF(O569,BSCall(swap_curve!$B$20,imvol!M569,imvol!P569,imvol!Q569,YEARFRAC(swap_curve!$C$1,imvol!N569)),"")</f>
        <v/>
      </c>
      <c r="S569" s="20" t="str">
        <f t="shared" si="40"/>
        <v/>
      </c>
    </row>
    <row r="570" spans="1:19" x14ac:dyDescent="0.3">
      <c r="A570" s="23" t="s">
        <v>454</v>
      </c>
      <c r="B570" s="23" t="s">
        <v>455</v>
      </c>
      <c r="C570" s="24" t="s">
        <v>23</v>
      </c>
      <c r="D570" s="24" t="s">
        <v>23</v>
      </c>
      <c r="E570" s="24" t="s">
        <v>23</v>
      </c>
      <c r="F570" s="24" t="s">
        <v>23</v>
      </c>
      <c r="G570" s="24" t="s">
        <v>23</v>
      </c>
      <c r="H570" s="24">
        <v>16.66</v>
      </c>
      <c r="I570" s="24">
        <v>24.4</v>
      </c>
      <c r="J570" s="25">
        <v>0</v>
      </c>
      <c r="K570" s="25">
        <v>0</v>
      </c>
      <c r="L570" s="25">
        <v>3944</v>
      </c>
      <c r="M570" s="18">
        <f t="shared" si="42"/>
        <v>360</v>
      </c>
      <c r="N570" s="19">
        <f t="shared" si="43"/>
        <v>45638</v>
      </c>
      <c r="O570" s="18" t="b">
        <f t="shared" si="41"/>
        <v>0</v>
      </c>
      <c r="P570" s="43" t="str">
        <f>IF(O570,swap_curve!$B$19,"")</f>
        <v/>
      </c>
      <c r="Q570" t="str">
        <f t="shared" si="44"/>
        <v/>
      </c>
      <c r="R570" t="str" cm="1">
        <f t="array" ref="R570">IF(O570,BSCall(swap_curve!$B$20,imvol!M570,imvol!P570,imvol!Q570,YEARFRAC(swap_curve!$C$1,imvol!N570)),"")</f>
        <v/>
      </c>
      <c r="S570" s="20" t="str">
        <f t="shared" si="40"/>
        <v/>
      </c>
    </row>
    <row r="571" spans="1:19" x14ac:dyDescent="0.3">
      <c r="A571" s="23" t="s">
        <v>456</v>
      </c>
      <c r="B571" s="23" t="s">
        <v>457</v>
      </c>
      <c r="C571" s="24" t="s">
        <v>23</v>
      </c>
      <c r="D571" s="24" t="s">
        <v>23</v>
      </c>
      <c r="E571" s="24" t="s">
        <v>23</v>
      </c>
      <c r="F571" s="24" t="s">
        <v>23</v>
      </c>
      <c r="G571" s="24" t="s">
        <v>23</v>
      </c>
      <c r="H571" s="24">
        <v>17.28</v>
      </c>
      <c r="I571" s="24">
        <v>22.45</v>
      </c>
      <c r="J571" s="25">
        <v>0</v>
      </c>
      <c r="K571" s="25">
        <v>0</v>
      </c>
      <c r="L571" s="25">
        <v>27</v>
      </c>
      <c r="M571" s="18">
        <f t="shared" si="42"/>
        <v>365</v>
      </c>
      <c r="N571" s="19">
        <f t="shared" si="43"/>
        <v>45638</v>
      </c>
      <c r="O571" s="18" t="b">
        <f t="shared" si="41"/>
        <v>0</v>
      </c>
      <c r="P571" s="43" t="str">
        <f>IF(O571,swap_curve!$B$19,"")</f>
        <v/>
      </c>
      <c r="Q571" t="str">
        <f t="shared" si="44"/>
        <v/>
      </c>
      <c r="R571" t="str" cm="1">
        <f t="array" ref="R571">IF(O571,BSCall(swap_curve!$B$20,imvol!M571,imvol!P571,imvol!Q571,YEARFRAC(swap_curve!$C$1,imvol!N571)),"")</f>
        <v/>
      </c>
      <c r="S571" s="20" t="str">
        <f t="shared" si="40"/>
        <v/>
      </c>
    </row>
    <row r="572" spans="1:19" x14ac:dyDescent="0.3">
      <c r="A572" s="23" t="s">
        <v>458</v>
      </c>
      <c r="B572" s="23" t="s">
        <v>459</v>
      </c>
      <c r="C572" s="24">
        <v>18.899999999999999</v>
      </c>
      <c r="D572" s="24">
        <v>1.6</v>
      </c>
      <c r="E572" s="24">
        <v>18.899999999999999</v>
      </c>
      <c r="F572" s="24">
        <v>18.899999999999999</v>
      </c>
      <c r="G572" s="24">
        <v>18.899999999999999</v>
      </c>
      <c r="H572" s="24">
        <v>17.899999999999999</v>
      </c>
      <c r="I572" s="24">
        <v>18.899999999999999</v>
      </c>
      <c r="J572" s="25">
        <v>2</v>
      </c>
      <c r="K572" s="25">
        <v>9</v>
      </c>
      <c r="L572" s="25">
        <v>3506</v>
      </c>
      <c r="M572" s="18">
        <f t="shared" si="42"/>
        <v>370</v>
      </c>
      <c r="N572" s="19">
        <f t="shared" si="43"/>
        <v>45638</v>
      </c>
      <c r="O572" s="18" t="b">
        <f t="shared" si="41"/>
        <v>0</v>
      </c>
      <c r="P572" s="43" t="str">
        <f>IF(O572,swap_curve!$B$19,"")</f>
        <v/>
      </c>
      <c r="Q572" t="str">
        <f t="shared" si="44"/>
        <v/>
      </c>
      <c r="R572" t="str" cm="1">
        <f t="array" ref="R572">IF(O572,BSCall(swap_curve!$B$20,imvol!M572,imvol!P572,imvol!Q572,YEARFRAC(swap_curve!$C$1,imvol!N572)),"")</f>
        <v/>
      </c>
      <c r="S572" s="20" t="str">
        <f t="shared" si="40"/>
        <v/>
      </c>
    </row>
    <row r="573" spans="1:19" x14ac:dyDescent="0.3">
      <c r="A573" s="23" t="s">
        <v>460</v>
      </c>
      <c r="B573" s="23" t="s">
        <v>461</v>
      </c>
      <c r="C573" s="24" t="s">
        <v>23</v>
      </c>
      <c r="D573" s="24" t="s">
        <v>23</v>
      </c>
      <c r="E573" s="24" t="s">
        <v>23</v>
      </c>
      <c r="F573" s="24" t="s">
        <v>23</v>
      </c>
      <c r="G573" s="24" t="s">
        <v>23</v>
      </c>
      <c r="H573" s="24">
        <v>17.45</v>
      </c>
      <c r="I573" s="24">
        <v>18</v>
      </c>
      <c r="J573" s="25">
        <v>0</v>
      </c>
      <c r="K573" s="25">
        <v>0</v>
      </c>
      <c r="L573" s="25">
        <v>2930</v>
      </c>
      <c r="M573" s="18">
        <f t="shared" si="42"/>
        <v>375</v>
      </c>
      <c r="N573" s="19">
        <f t="shared" si="43"/>
        <v>45638</v>
      </c>
      <c r="O573" s="18" t="b">
        <f t="shared" si="41"/>
        <v>0</v>
      </c>
      <c r="P573" s="43" t="str">
        <f>IF(O573,swap_curve!$B$19,"")</f>
        <v/>
      </c>
      <c r="Q573" t="str">
        <f t="shared" si="44"/>
        <v/>
      </c>
      <c r="R573" t="str" cm="1">
        <f t="array" ref="R573">IF(O573,BSCall(swap_curve!$B$20,imvol!M573,imvol!P573,imvol!Q573,YEARFRAC(swap_curve!$C$1,imvol!N573)),"")</f>
        <v/>
      </c>
      <c r="S573" s="20" t="str">
        <f t="shared" si="40"/>
        <v/>
      </c>
    </row>
    <row r="574" spans="1:19" x14ac:dyDescent="0.3">
      <c r="A574" s="23" t="s">
        <v>462</v>
      </c>
      <c r="B574" s="23" t="s">
        <v>463</v>
      </c>
      <c r="C574" s="24" t="s">
        <v>23</v>
      </c>
      <c r="D574" s="24" t="s">
        <v>23</v>
      </c>
      <c r="E574" s="24" t="s">
        <v>23</v>
      </c>
      <c r="F574" s="24" t="s">
        <v>23</v>
      </c>
      <c r="G574" s="24" t="s">
        <v>23</v>
      </c>
      <c r="H574" s="24">
        <v>17</v>
      </c>
      <c r="I574" s="24">
        <v>15.4</v>
      </c>
      <c r="J574" s="25">
        <v>0</v>
      </c>
      <c r="K574" s="25">
        <v>0</v>
      </c>
      <c r="L574" s="25">
        <v>7756</v>
      </c>
      <c r="M574" s="18">
        <f t="shared" si="42"/>
        <v>380</v>
      </c>
      <c r="N574" s="19">
        <f t="shared" si="43"/>
        <v>45638</v>
      </c>
      <c r="O574" s="18" t="b">
        <f t="shared" si="41"/>
        <v>0</v>
      </c>
      <c r="P574" s="43" t="str">
        <f>IF(O574,swap_curve!$B$19,"")</f>
        <v/>
      </c>
      <c r="Q574" t="str">
        <f t="shared" si="44"/>
        <v/>
      </c>
      <c r="R574" t="str" cm="1">
        <f t="array" ref="R574">IF(O574,BSCall(swap_curve!$B$20,imvol!M574,imvol!P574,imvol!Q574,YEARFRAC(swap_curve!$C$1,imvol!N574)),"")</f>
        <v/>
      </c>
      <c r="S574" s="20" t="str">
        <f t="shared" si="40"/>
        <v/>
      </c>
    </row>
    <row r="575" spans="1:19" x14ac:dyDescent="0.3">
      <c r="A575" s="23" t="s">
        <v>464</v>
      </c>
      <c r="B575" s="23" t="s">
        <v>465</v>
      </c>
      <c r="C575" s="24" t="s">
        <v>23</v>
      </c>
      <c r="D575" s="24" t="s">
        <v>23</v>
      </c>
      <c r="E575" s="24" t="s">
        <v>23</v>
      </c>
      <c r="F575" s="24" t="s">
        <v>23</v>
      </c>
      <c r="G575" s="24" t="s">
        <v>23</v>
      </c>
      <c r="H575" s="24">
        <v>16.54</v>
      </c>
      <c r="I575" s="24">
        <v>12.95</v>
      </c>
      <c r="J575" s="25">
        <v>0</v>
      </c>
      <c r="K575" s="25">
        <v>0</v>
      </c>
      <c r="L575" s="25">
        <v>117</v>
      </c>
      <c r="M575" s="18">
        <f t="shared" si="42"/>
        <v>385</v>
      </c>
      <c r="N575" s="19">
        <f t="shared" si="43"/>
        <v>45638</v>
      </c>
      <c r="O575" s="18" t="b">
        <f t="shared" si="41"/>
        <v>0</v>
      </c>
      <c r="P575" s="43" t="str">
        <f>IF(O575,swap_curve!$B$19,"")</f>
        <v/>
      </c>
      <c r="Q575" t="str">
        <f t="shared" si="44"/>
        <v/>
      </c>
      <c r="R575" t="str" cm="1">
        <f t="array" ref="R575">IF(O575,BSCall(swap_curve!$B$20,imvol!M575,imvol!P575,imvol!Q575,YEARFRAC(swap_curve!$C$1,imvol!N575)),"")</f>
        <v/>
      </c>
      <c r="S575" s="20" t="str">
        <f t="shared" ref="S575:S638" si="45">IF(O575,R575-C575,"")</f>
        <v/>
      </c>
    </row>
    <row r="576" spans="1:19" x14ac:dyDescent="0.3">
      <c r="A576" s="23" t="s">
        <v>466</v>
      </c>
      <c r="B576" s="23" t="s">
        <v>467</v>
      </c>
      <c r="C576" s="24">
        <v>10.9</v>
      </c>
      <c r="D576" s="24">
        <v>0.55000000000000004</v>
      </c>
      <c r="E576" s="24">
        <v>10.9</v>
      </c>
      <c r="F576" s="24">
        <v>10.9</v>
      </c>
      <c r="G576" s="24">
        <v>10.9</v>
      </c>
      <c r="H576" s="24">
        <v>16.100000000000001</v>
      </c>
      <c r="I576" s="24">
        <v>10.9</v>
      </c>
      <c r="J576" s="25">
        <v>5</v>
      </c>
      <c r="K576" s="25">
        <v>14</v>
      </c>
      <c r="L576" s="25">
        <v>3874</v>
      </c>
      <c r="M576" s="18">
        <f t="shared" si="42"/>
        <v>390</v>
      </c>
      <c r="N576" s="19">
        <f t="shared" si="43"/>
        <v>45638</v>
      </c>
      <c r="O576" s="18" t="b">
        <f t="shared" si="41"/>
        <v>0</v>
      </c>
      <c r="P576" s="43" t="str">
        <f>IF(O576,swap_curve!$B$19,"")</f>
        <v/>
      </c>
      <c r="Q576" t="str">
        <f t="shared" si="44"/>
        <v/>
      </c>
      <c r="R576" t="str" cm="1">
        <f t="array" ref="R576">IF(O576,BSCall(swap_curve!$B$20,imvol!M576,imvol!P576,imvol!Q576,YEARFRAC(swap_curve!$C$1,imvol!N576)),"")</f>
        <v/>
      </c>
      <c r="S576" s="20" t="str">
        <f t="shared" si="45"/>
        <v/>
      </c>
    </row>
    <row r="577" spans="1:19" x14ac:dyDescent="0.3">
      <c r="A577" s="23" t="s">
        <v>468</v>
      </c>
      <c r="B577" s="23" t="s">
        <v>469</v>
      </c>
      <c r="C577" s="24" t="s">
        <v>23</v>
      </c>
      <c r="D577" s="24" t="s">
        <v>23</v>
      </c>
      <c r="E577" s="24" t="s">
        <v>23</v>
      </c>
      <c r="F577" s="24" t="s">
        <v>23</v>
      </c>
      <c r="G577" s="24" t="s">
        <v>23</v>
      </c>
      <c r="H577" s="24">
        <v>16.100000000000001</v>
      </c>
      <c r="I577" s="24">
        <v>9.32</v>
      </c>
      <c r="J577" s="25">
        <v>0</v>
      </c>
      <c r="K577" s="25">
        <v>0</v>
      </c>
      <c r="L577" s="25">
        <v>1013</v>
      </c>
      <c r="M577" s="18">
        <f t="shared" si="42"/>
        <v>395</v>
      </c>
      <c r="N577" s="19">
        <f t="shared" si="43"/>
        <v>45638</v>
      </c>
      <c r="O577" s="18" t="b">
        <f t="shared" si="41"/>
        <v>0</v>
      </c>
      <c r="P577" s="43" t="str">
        <f>IF(O577,swap_curve!$B$19,"")</f>
        <v/>
      </c>
      <c r="Q577" t="str">
        <f t="shared" si="44"/>
        <v/>
      </c>
      <c r="R577" t="str" cm="1">
        <f t="array" ref="R577">IF(O577,BSCall(swap_curve!$B$20,imvol!M577,imvol!P577,imvol!Q577,YEARFRAC(swap_curve!$C$1,imvol!N577)),"")</f>
        <v/>
      </c>
      <c r="S577" s="20" t="str">
        <f t="shared" si="45"/>
        <v/>
      </c>
    </row>
    <row r="578" spans="1:19" x14ac:dyDescent="0.3">
      <c r="A578" s="23" t="s">
        <v>470</v>
      </c>
      <c r="B578" s="23" t="s">
        <v>471</v>
      </c>
      <c r="C578" s="24">
        <v>8.06</v>
      </c>
      <c r="D578" s="24">
        <v>0.66</v>
      </c>
      <c r="E578" s="24">
        <v>8.24</v>
      </c>
      <c r="F578" s="24">
        <v>8.24</v>
      </c>
      <c r="G578" s="24">
        <v>8.06</v>
      </c>
      <c r="H578" s="24">
        <v>16.100000000000001</v>
      </c>
      <c r="I578" s="24">
        <v>8.06</v>
      </c>
      <c r="J578" s="25">
        <v>3</v>
      </c>
      <c r="K578" s="25">
        <v>6</v>
      </c>
      <c r="L578" s="25">
        <v>11294</v>
      </c>
      <c r="M578" s="18">
        <f t="shared" si="42"/>
        <v>400</v>
      </c>
      <c r="N578" s="19">
        <f t="shared" si="43"/>
        <v>45638</v>
      </c>
      <c r="O578" s="18" t="b">
        <f t="shared" ref="O578:O641" si="46">IF(J578&gt;100, TRUE,FALSE)</f>
        <v>0</v>
      </c>
      <c r="P578" s="43" t="str">
        <f>IF(O578,swap_curve!$B$19,"")</f>
        <v/>
      </c>
      <c r="Q578" t="str">
        <f t="shared" si="44"/>
        <v/>
      </c>
      <c r="R578" t="str" cm="1">
        <f t="array" ref="R578">IF(O578,BSCall(swap_curve!$B$20,imvol!M578,imvol!P578,imvol!Q578,YEARFRAC(swap_curve!$C$1,imvol!N578)),"")</f>
        <v/>
      </c>
      <c r="S578" s="20" t="str">
        <f t="shared" si="45"/>
        <v/>
      </c>
    </row>
    <row r="579" spans="1:19" x14ac:dyDescent="0.3">
      <c r="A579" s="23" t="s">
        <v>472</v>
      </c>
      <c r="B579" s="23" t="s">
        <v>473</v>
      </c>
      <c r="C579" s="24" t="s">
        <v>23</v>
      </c>
      <c r="D579" s="24" t="s">
        <v>23</v>
      </c>
      <c r="E579" s="24" t="s">
        <v>23</v>
      </c>
      <c r="F579" s="24" t="s">
        <v>23</v>
      </c>
      <c r="G579" s="24" t="s">
        <v>23</v>
      </c>
      <c r="H579" s="24">
        <v>16.100000000000001</v>
      </c>
      <c r="I579" s="24">
        <v>6.92</v>
      </c>
      <c r="J579" s="25">
        <v>0</v>
      </c>
      <c r="K579" s="25">
        <v>0</v>
      </c>
      <c r="L579" s="25">
        <v>29</v>
      </c>
      <c r="M579" s="18">
        <f t="shared" ref="M579:M642" si="47">VALUE(RIGHT(B579, 6))</f>
        <v>405</v>
      </c>
      <c r="N579" s="19">
        <f t="shared" ref="N579:N642" si="48">DATE(VALUE(LEFT(MID(B579,10,6),4)),VALUE(RIGHT(MID(B579,10,6),2)),1)+MOD(5-WEEKDAY(DATE(VALUE(LEFT(MID(B579,10,6),4)),VALUE(RIGHT(MID(B579,10,6),2)),1)),7)+7</f>
        <v>45638</v>
      </c>
      <c r="O579" s="18" t="b">
        <f t="shared" si="46"/>
        <v>0</v>
      </c>
      <c r="P579" s="43" t="str">
        <f>IF(O579,swap_curve!$B$19,"")</f>
        <v/>
      </c>
      <c r="Q579" t="str">
        <f t="shared" ref="Q579:Q642" si="49">IF(O579,H579%,"")</f>
        <v/>
      </c>
      <c r="R579" t="str" cm="1">
        <f t="array" ref="R579">IF(O579,BSCall(swap_curve!$B$20,imvol!M579,imvol!P579,imvol!Q579,YEARFRAC(swap_curve!$C$1,imvol!N579)),"")</f>
        <v/>
      </c>
      <c r="S579" s="20" t="str">
        <f t="shared" si="45"/>
        <v/>
      </c>
    </row>
    <row r="580" spans="1:19" x14ac:dyDescent="0.3">
      <c r="A580" s="23" t="s">
        <v>474</v>
      </c>
      <c r="B580" s="23" t="s">
        <v>475</v>
      </c>
      <c r="C580" s="24">
        <v>5.84</v>
      </c>
      <c r="D580" s="24">
        <v>0.54</v>
      </c>
      <c r="E580" s="24">
        <v>5.7</v>
      </c>
      <c r="F580" s="24">
        <v>5.84</v>
      </c>
      <c r="G580" s="24">
        <v>5.69</v>
      </c>
      <c r="H580" s="24">
        <v>16.100000000000001</v>
      </c>
      <c r="I580" s="24">
        <v>5.84</v>
      </c>
      <c r="J580" s="25">
        <v>4</v>
      </c>
      <c r="K580" s="25">
        <v>6</v>
      </c>
      <c r="L580" s="25">
        <v>1838</v>
      </c>
      <c r="M580" s="18">
        <f t="shared" si="47"/>
        <v>410</v>
      </c>
      <c r="N580" s="19">
        <f t="shared" si="48"/>
        <v>45638</v>
      </c>
      <c r="O580" s="18" t="b">
        <f t="shared" si="46"/>
        <v>0</v>
      </c>
      <c r="P580" s="43" t="str">
        <f>IF(O580,swap_curve!$B$19,"")</f>
        <v/>
      </c>
      <c r="Q580" t="str">
        <f t="shared" si="49"/>
        <v/>
      </c>
      <c r="R580" t="str" cm="1">
        <f t="array" ref="R580">IF(O580,BSCall(swap_curve!$B$20,imvol!M580,imvol!P580,imvol!Q580,YEARFRAC(swap_curve!$C$1,imvol!N580)),"")</f>
        <v/>
      </c>
      <c r="S580" s="20" t="str">
        <f t="shared" si="45"/>
        <v/>
      </c>
    </row>
    <row r="581" spans="1:19" x14ac:dyDescent="0.3">
      <c r="A581" s="23" t="s">
        <v>476</v>
      </c>
      <c r="B581" s="23" t="s">
        <v>477</v>
      </c>
      <c r="C581" s="24" t="s">
        <v>23</v>
      </c>
      <c r="D581" s="24" t="s">
        <v>23</v>
      </c>
      <c r="E581" s="24" t="s">
        <v>23</v>
      </c>
      <c r="F581" s="24" t="s">
        <v>23</v>
      </c>
      <c r="G581" s="24" t="s">
        <v>23</v>
      </c>
      <c r="H581" s="24">
        <v>16.05</v>
      </c>
      <c r="I581" s="24">
        <v>4.91</v>
      </c>
      <c r="J581" s="25">
        <v>0</v>
      </c>
      <c r="K581" s="25">
        <v>0</v>
      </c>
      <c r="L581" s="25">
        <v>19</v>
      </c>
      <c r="M581" s="18">
        <f t="shared" si="47"/>
        <v>415</v>
      </c>
      <c r="N581" s="19">
        <f t="shared" si="48"/>
        <v>45638</v>
      </c>
      <c r="O581" s="18" t="b">
        <f t="shared" si="46"/>
        <v>0</v>
      </c>
      <c r="P581" s="43" t="str">
        <f>IF(O581,swap_curve!$B$19,"")</f>
        <v/>
      </c>
      <c r="Q581" t="str">
        <f t="shared" si="49"/>
        <v/>
      </c>
      <c r="R581" t="str" cm="1">
        <f t="array" ref="R581">IF(O581,BSCall(swap_curve!$B$20,imvol!M581,imvol!P581,imvol!Q581,YEARFRAC(swap_curve!$C$1,imvol!N581)),"")</f>
        <v/>
      </c>
      <c r="S581" s="20" t="str">
        <f t="shared" si="45"/>
        <v/>
      </c>
    </row>
    <row r="582" spans="1:19" x14ac:dyDescent="0.3">
      <c r="A582" s="23" t="s">
        <v>478</v>
      </c>
      <c r="B582" s="23" t="s">
        <v>479</v>
      </c>
      <c r="C582" s="24">
        <v>4.0999999999999996</v>
      </c>
      <c r="D582" s="24">
        <v>0.49</v>
      </c>
      <c r="E582" s="24">
        <v>4.0999999999999996</v>
      </c>
      <c r="F582" s="24">
        <v>4.0999999999999996</v>
      </c>
      <c r="G582" s="24">
        <v>4.0999999999999996</v>
      </c>
      <c r="H582" s="24">
        <v>16</v>
      </c>
      <c r="I582" s="24">
        <v>4.0999999999999996</v>
      </c>
      <c r="J582" s="25">
        <v>1</v>
      </c>
      <c r="K582" s="25">
        <v>1</v>
      </c>
      <c r="L582" s="25">
        <v>2103</v>
      </c>
      <c r="M582" s="18">
        <f t="shared" si="47"/>
        <v>420</v>
      </c>
      <c r="N582" s="19">
        <f t="shared" si="48"/>
        <v>45638</v>
      </c>
      <c r="O582" s="18" t="b">
        <f t="shared" si="46"/>
        <v>0</v>
      </c>
      <c r="P582" s="43" t="str">
        <f>IF(O582,swap_curve!$B$19,"")</f>
        <v/>
      </c>
      <c r="Q582" t="str">
        <f t="shared" si="49"/>
        <v/>
      </c>
      <c r="R582" t="str" cm="1">
        <f t="array" ref="R582">IF(O582,BSCall(swap_curve!$B$20,imvol!M582,imvol!P582,imvol!Q582,YEARFRAC(swap_curve!$C$1,imvol!N582)),"")</f>
        <v/>
      </c>
      <c r="S582" s="20" t="str">
        <f t="shared" si="45"/>
        <v/>
      </c>
    </row>
    <row r="583" spans="1:19" x14ac:dyDescent="0.3">
      <c r="A583" s="23" t="s">
        <v>480</v>
      </c>
      <c r="B583" s="23" t="s">
        <v>481</v>
      </c>
      <c r="C583" s="24">
        <v>3.31</v>
      </c>
      <c r="D583" s="24">
        <v>0.32</v>
      </c>
      <c r="E583" s="24">
        <v>3.31</v>
      </c>
      <c r="F583" s="24">
        <v>3.31</v>
      </c>
      <c r="G583" s="24">
        <v>3.31</v>
      </c>
      <c r="H583" s="24">
        <v>15.8</v>
      </c>
      <c r="I583" s="24">
        <v>3.31</v>
      </c>
      <c r="J583" s="25">
        <v>1</v>
      </c>
      <c r="K583" s="25">
        <v>1</v>
      </c>
      <c r="L583" s="25">
        <v>3819</v>
      </c>
      <c r="M583" s="18">
        <f t="shared" si="47"/>
        <v>425</v>
      </c>
      <c r="N583" s="19">
        <f t="shared" si="48"/>
        <v>45638</v>
      </c>
      <c r="O583" s="18" t="b">
        <f t="shared" si="46"/>
        <v>0</v>
      </c>
      <c r="P583" s="43" t="str">
        <f>IF(O583,swap_curve!$B$19,"")</f>
        <v/>
      </c>
      <c r="Q583" t="str">
        <f t="shared" si="49"/>
        <v/>
      </c>
      <c r="R583" t="str" cm="1">
        <f t="array" ref="R583">IF(O583,BSCall(swap_curve!$B$20,imvol!M583,imvol!P583,imvol!Q583,YEARFRAC(swap_curve!$C$1,imvol!N583)),"")</f>
        <v/>
      </c>
      <c r="S583" s="20" t="str">
        <f t="shared" si="45"/>
        <v/>
      </c>
    </row>
    <row r="584" spans="1:19" x14ac:dyDescent="0.3">
      <c r="A584" s="23" t="s">
        <v>482</v>
      </c>
      <c r="B584" s="23" t="s">
        <v>483</v>
      </c>
      <c r="C584" s="24">
        <v>2.96</v>
      </c>
      <c r="D584" s="24">
        <v>0.37</v>
      </c>
      <c r="E584" s="24">
        <v>2.4</v>
      </c>
      <c r="F584" s="24">
        <v>2.96</v>
      </c>
      <c r="G584" s="24">
        <v>2.4</v>
      </c>
      <c r="H584" s="24">
        <v>16.2</v>
      </c>
      <c r="I584" s="24">
        <v>2.96</v>
      </c>
      <c r="J584" s="25">
        <v>5</v>
      </c>
      <c r="K584" s="25">
        <v>3</v>
      </c>
      <c r="L584" s="25">
        <v>1703</v>
      </c>
      <c r="M584" s="18">
        <f t="shared" si="47"/>
        <v>430</v>
      </c>
      <c r="N584" s="19">
        <f t="shared" si="48"/>
        <v>45638</v>
      </c>
      <c r="O584" s="18" t="b">
        <f t="shared" si="46"/>
        <v>0</v>
      </c>
      <c r="P584" s="43" t="str">
        <f>IF(O584,swap_curve!$B$19,"")</f>
        <v/>
      </c>
      <c r="Q584" t="str">
        <f t="shared" si="49"/>
        <v/>
      </c>
      <c r="R584" t="str" cm="1">
        <f t="array" ref="R584">IF(O584,BSCall(swap_curve!$B$20,imvol!M584,imvol!P584,imvol!Q584,YEARFRAC(swap_curve!$C$1,imvol!N584)),"")</f>
        <v/>
      </c>
      <c r="S584" s="20" t="str">
        <f t="shared" si="45"/>
        <v/>
      </c>
    </row>
    <row r="585" spans="1:19" x14ac:dyDescent="0.3">
      <c r="A585" s="23" t="s">
        <v>484</v>
      </c>
      <c r="B585" s="23" t="s">
        <v>485</v>
      </c>
      <c r="C585" s="24" t="s">
        <v>23</v>
      </c>
      <c r="D585" s="24" t="s">
        <v>23</v>
      </c>
      <c r="E585" s="24" t="s">
        <v>23</v>
      </c>
      <c r="F585" s="24" t="s">
        <v>23</v>
      </c>
      <c r="G585" s="24" t="s">
        <v>23</v>
      </c>
      <c r="H585" s="24">
        <v>16.22</v>
      </c>
      <c r="I585" s="24">
        <v>2.5299999999999998</v>
      </c>
      <c r="J585" s="25">
        <v>0</v>
      </c>
      <c r="K585" s="25">
        <v>0</v>
      </c>
      <c r="L585" s="25">
        <v>57</v>
      </c>
      <c r="M585" s="18">
        <f t="shared" si="47"/>
        <v>435</v>
      </c>
      <c r="N585" s="19">
        <f t="shared" si="48"/>
        <v>45638</v>
      </c>
      <c r="O585" s="18" t="b">
        <f t="shared" si="46"/>
        <v>0</v>
      </c>
      <c r="P585" s="43" t="str">
        <f>IF(O585,swap_curve!$B$19,"")</f>
        <v/>
      </c>
      <c r="Q585" t="str">
        <f t="shared" si="49"/>
        <v/>
      </c>
      <c r="R585" t="str" cm="1">
        <f t="array" ref="R585">IF(O585,BSCall(swap_curve!$B$20,imvol!M585,imvol!P585,imvol!Q585,YEARFRAC(swap_curve!$C$1,imvol!N585)),"")</f>
        <v/>
      </c>
      <c r="S585" s="20" t="str">
        <f t="shared" si="45"/>
        <v/>
      </c>
    </row>
    <row r="586" spans="1:19" x14ac:dyDescent="0.3">
      <c r="A586" s="23" t="s">
        <v>486</v>
      </c>
      <c r="B586" s="23" t="s">
        <v>487</v>
      </c>
      <c r="C586" s="24" t="s">
        <v>23</v>
      </c>
      <c r="D586" s="24" t="s">
        <v>23</v>
      </c>
      <c r="E586" s="24" t="s">
        <v>23</v>
      </c>
      <c r="F586" s="24" t="s">
        <v>23</v>
      </c>
      <c r="G586" s="24" t="s">
        <v>23</v>
      </c>
      <c r="H586" s="24">
        <v>16.239999999999998</v>
      </c>
      <c r="I586" s="24">
        <v>2.08</v>
      </c>
      <c r="J586" s="25">
        <v>0</v>
      </c>
      <c r="K586" s="25">
        <v>0</v>
      </c>
      <c r="L586" s="25">
        <v>5179</v>
      </c>
      <c r="M586" s="18">
        <f t="shared" si="47"/>
        <v>440</v>
      </c>
      <c r="N586" s="19">
        <f t="shared" si="48"/>
        <v>45638</v>
      </c>
      <c r="O586" s="18" t="b">
        <f t="shared" si="46"/>
        <v>0</v>
      </c>
      <c r="P586" s="43" t="str">
        <f>IF(O586,swap_curve!$B$19,"")</f>
        <v/>
      </c>
      <c r="Q586" t="str">
        <f t="shared" si="49"/>
        <v/>
      </c>
      <c r="R586" t="str" cm="1">
        <f t="array" ref="R586">IF(O586,BSCall(swap_curve!$B$20,imvol!M586,imvol!P586,imvol!Q586,YEARFRAC(swap_curve!$C$1,imvol!N586)),"")</f>
        <v/>
      </c>
      <c r="S586" s="20" t="str">
        <f t="shared" si="45"/>
        <v/>
      </c>
    </row>
    <row r="587" spans="1:19" x14ac:dyDescent="0.3">
      <c r="A587" s="23" t="s">
        <v>488</v>
      </c>
      <c r="B587" s="23" t="s">
        <v>489</v>
      </c>
      <c r="C587" s="24" t="s">
        <v>23</v>
      </c>
      <c r="D587" s="24" t="s">
        <v>23</v>
      </c>
      <c r="E587" s="24" t="s">
        <v>23</v>
      </c>
      <c r="F587" s="24" t="s">
        <v>23</v>
      </c>
      <c r="G587" s="24" t="s">
        <v>23</v>
      </c>
      <c r="H587" s="24">
        <v>16.260000000000002</v>
      </c>
      <c r="I587" s="24">
        <v>1.7</v>
      </c>
      <c r="J587" s="25">
        <v>0</v>
      </c>
      <c r="K587" s="25">
        <v>0</v>
      </c>
      <c r="L587" s="25">
        <v>91</v>
      </c>
      <c r="M587" s="18">
        <f t="shared" si="47"/>
        <v>445</v>
      </c>
      <c r="N587" s="19">
        <f t="shared" si="48"/>
        <v>45638</v>
      </c>
      <c r="O587" s="18" t="b">
        <f t="shared" si="46"/>
        <v>0</v>
      </c>
      <c r="P587" s="43" t="str">
        <f>IF(O587,swap_curve!$B$19,"")</f>
        <v/>
      </c>
      <c r="Q587" t="str">
        <f t="shared" si="49"/>
        <v/>
      </c>
      <c r="R587" t="str" cm="1">
        <f t="array" ref="R587">IF(O587,BSCall(swap_curve!$B$20,imvol!M587,imvol!P587,imvol!Q587,YEARFRAC(swap_curve!$C$1,imvol!N587)),"")</f>
        <v/>
      </c>
      <c r="S587" s="20" t="str">
        <f t="shared" si="45"/>
        <v/>
      </c>
    </row>
    <row r="588" spans="1:19" x14ac:dyDescent="0.3">
      <c r="A588" s="23" t="s">
        <v>490</v>
      </c>
      <c r="B588" s="23" t="s">
        <v>491</v>
      </c>
      <c r="C588" s="24" t="s">
        <v>23</v>
      </c>
      <c r="D588" s="24" t="s">
        <v>23</v>
      </c>
      <c r="E588" s="24" t="s">
        <v>23</v>
      </c>
      <c r="F588" s="24" t="s">
        <v>23</v>
      </c>
      <c r="G588" s="24" t="s">
        <v>23</v>
      </c>
      <c r="H588" s="24">
        <v>16.28</v>
      </c>
      <c r="I588" s="24">
        <v>1.45</v>
      </c>
      <c r="J588" s="25">
        <v>0</v>
      </c>
      <c r="K588" s="25">
        <v>0</v>
      </c>
      <c r="L588" s="25">
        <v>3912</v>
      </c>
      <c r="M588" s="18">
        <f t="shared" si="47"/>
        <v>450</v>
      </c>
      <c r="N588" s="19">
        <f t="shared" si="48"/>
        <v>45638</v>
      </c>
      <c r="O588" s="18" t="b">
        <f t="shared" si="46"/>
        <v>0</v>
      </c>
      <c r="P588" s="43" t="str">
        <f>IF(O588,swap_curve!$B$19,"")</f>
        <v/>
      </c>
      <c r="Q588" t="str">
        <f t="shared" si="49"/>
        <v/>
      </c>
      <c r="R588" t="str" cm="1">
        <f t="array" ref="R588">IF(O588,BSCall(swap_curve!$B$20,imvol!M588,imvol!P588,imvol!Q588,YEARFRAC(swap_curve!$C$1,imvol!N588)),"")</f>
        <v/>
      </c>
      <c r="S588" s="20" t="str">
        <f t="shared" si="45"/>
        <v/>
      </c>
    </row>
    <row r="589" spans="1:19" x14ac:dyDescent="0.3">
      <c r="A589" s="23" t="s">
        <v>492</v>
      </c>
      <c r="B589" s="23" t="s">
        <v>493</v>
      </c>
      <c r="C589" s="24">
        <v>1.1000000000000001</v>
      </c>
      <c r="D589" s="24">
        <v>0.06</v>
      </c>
      <c r="E589" s="24">
        <v>1.1000000000000001</v>
      </c>
      <c r="F589" s="24">
        <v>1.1000000000000001</v>
      </c>
      <c r="G589" s="24">
        <v>1.1000000000000001</v>
      </c>
      <c r="H589" s="24">
        <v>16.3</v>
      </c>
      <c r="I589" s="24">
        <v>1.1000000000000001</v>
      </c>
      <c r="J589" s="25">
        <v>1</v>
      </c>
      <c r="K589" s="25">
        <v>0</v>
      </c>
      <c r="L589" s="25">
        <v>180</v>
      </c>
      <c r="M589" s="18">
        <f t="shared" si="47"/>
        <v>455</v>
      </c>
      <c r="N589" s="19">
        <f t="shared" si="48"/>
        <v>45638</v>
      </c>
      <c r="O589" s="18" t="b">
        <f t="shared" si="46"/>
        <v>0</v>
      </c>
      <c r="P589" s="43" t="str">
        <f>IF(O589,swap_curve!$B$19,"")</f>
        <v/>
      </c>
      <c r="Q589" t="str">
        <f t="shared" si="49"/>
        <v/>
      </c>
      <c r="R589" t="str" cm="1">
        <f t="array" ref="R589">IF(O589,BSCall(swap_curve!$B$20,imvol!M589,imvol!P589,imvol!Q589,YEARFRAC(swap_curve!$C$1,imvol!N589)),"")</f>
        <v/>
      </c>
      <c r="S589" s="20" t="str">
        <f t="shared" si="45"/>
        <v/>
      </c>
    </row>
    <row r="590" spans="1:19" x14ac:dyDescent="0.3">
      <c r="A590" s="23" t="s">
        <v>494</v>
      </c>
      <c r="B590" s="23" t="s">
        <v>495</v>
      </c>
      <c r="C590" s="24">
        <v>0.93</v>
      </c>
      <c r="D590" s="24">
        <v>0.06</v>
      </c>
      <c r="E590" s="24">
        <v>0.93</v>
      </c>
      <c r="F590" s="24">
        <v>0.93</v>
      </c>
      <c r="G590" s="24">
        <v>0.93</v>
      </c>
      <c r="H590" s="24">
        <v>16.5</v>
      </c>
      <c r="I590" s="24">
        <v>0.93</v>
      </c>
      <c r="J590" s="25">
        <v>1</v>
      </c>
      <c r="K590" s="25">
        <v>0</v>
      </c>
      <c r="L590" s="25">
        <v>3988</v>
      </c>
      <c r="M590" s="18">
        <f t="shared" si="47"/>
        <v>460</v>
      </c>
      <c r="N590" s="19">
        <f t="shared" si="48"/>
        <v>45638</v>
      </c>
      <c r="O590" s="18" t="b">
        <f t="shared" si="46"/>
        <v>0</v>
      </c>
      <c r="P590" s="43" t="str">
        <f>IF(O590,swap_curve!$B$19,"")</f>
        <v/>
      </c>
      <c r="Q590" t="str">
        <f t="shared" si="49"/>
        <v/>
      </c>
      <c r="R590" t="str" cm="1">
        <f t="array" ref="R590">IF(O590,BSCall(swap_curve!$B$20,imvol!M590,imvol!P590,imvol!Q590,YEARFRAC(swap_curve!$C$1,imvol!N590)),"")</f>
        <v/>
      </c>
      <c r="S590" s="20" t="str">
        <f t="shared" si="45"/>
        <v/>
      </c>
    </row>
    <row r="591" spans="1:19" x14ac:dyDescent="0.3">
      <c r="A591" s="23" t="s">
        <v>496</v>
      </c>
      <c r="B591" s="23" t="s">
        <v>497</v>
      </c>
      <c r="C591" s="24" t="s">
        <v>23</v>
      </c>
      <c r="D591" s="24" t="s">
        <v>23</v>
      </c>
      <c r="E591" s="24" t="s">
        <v>23</v>
      </c>
      <c r="F591" s="24" t="s">
        <v>23</v>
      </c>
      <c r="G591" s="24" t="s">
        <v>23</v>
      </c>
      <c r="H591" s="24">
        <v>16.45</v>
      </c>
      <c r="I591" s="24">
        <v>0.82</v>
      </c>
      <c r="J591" s="25">
        <v>0</v>
      </c>
      <c r="K591" s="25">
        <v>0</v>
      </c>
      <c r="L591" s="25">
        <v>165</v>
      </c>
      <c r="M591" s="18">
        <f t="shared" si="47"/>
        <v>465</v>
      </c>
      <c r="N591" s="19">
        <f t="shared" si="48"/>
        <v>45638</v>
      </c>
      <c r="O591" s="18" t="b">
        <f t="shared" si="46"/>
        <v>0</v>
      </c>
      <c r="P591" s="43" t="str">
        <f>IF(O591,swap_curve!$B$19,"")</f>
        <v/>
      </c>
      <c r="Q591" t="str">
        <f t="shared" si="49"/>
        <v/>
      </c>
      <c r="R591" t="str" cm="1">
        <f t="array" ref="R591">IF(O591,BSCall(swap_curve!$B$20,imvol!M591,imvol!P591,imvol!Q591,YEARFRAC(swap_curve!$C$1,imvol!N591)),"")</f>
        <v/>
      </c>
      <c r="S591" s="20" t="str">
        <f t="shared" si="45"/>
        <v/>
      </c>
    </row>
    <row r="592" spans="1:19" x14ac:dyDescent="0.3">
      <c r="A592" s="23" t="s">
        <v>498</v>
      </c>
      <c r="B592" s="23" t="s">
        <v>499</v>
      </c>
      <c r="C592" s="24">
        <v>0.7</v>
      </c>
      <c r="D592" s="24">
        <v>0.08</v>
      </c>
      <c r="E592" s="24">
        <v>0.7</v>
      </c>
      <c r="F592" s="24">
        <v>0.7</v>
      </c>
      <c r="G592" s="24">
        <v>0.7</v>
      </c>
      <c r="H592" s="24">
        <v>16.399999999999999</v>
      </c>
      <c r="I592" s="24">
        <v>0.7</v>
      </c>
      <c r="J592" s="25">
        <v>100</v>
      </c>
      <c r="K592" s="25">
        <v>18</v>
      </c>
      <c r="L592" s="25">
        <v>1195</v>
      </c>
      <c r="M592" s="18">
        <f t="shared" si="47"/>
        <v>470</v>
      </c>
      <c r="N592" s="19">
        <f t="shared" si="48"/>
        <v>45638</v>
      </c>
      <c r="O592" s="18" t="b">
        <f t="shared" si="46"/>
        <v>0</v>
      </c>
      <c r="P592" s="43" t="str">
        <f>IF(O592,swap_curve!$B$19,"")</f>
        <v/>
      </c>
      <c r="Q592" t="str">
        <f t="shared" si="49"/>
        <v/>
      </c>
      <c r="R592" t="str" cm="1">
        <f t="array" ref="R592">IF(O592,BSCall(swap_curve!$B$20,imvol!M592,imvol!P592,imvol!Q592,YEARFRAC(swap_curve!$C$1,imvol!N592)),"")</f>
        <v/>
      </c>
      <c r="S592" s="20" t="str">
        <f t="shared" si="45"/>
        <v/>
      </c>
    </row>
    <row r="593" spans="1:19" x14ac:dyDescent="0.3">
      <c r="A593" s="23" t="s">
        <v>500</v>
      </c>
      <c r="B593" s="23" t="s">
        <v>501</v>
      </c>
      <c r="C593" s="24">
        <v>0.59</v>
      </c>
      <c r="D593" s="24">
        <v>0.01</v>
      </c>
      <c r="E593" s="24">
        <v>0.59</v>
      </c>
      <c r="F593" s="24">
        <v>0.59</v>
      </c>
      <c r="G593" s="24">
        <v>0.59</v>
      </c>
      <c r="H593" s="24">
        <v>16.7</v>
      </c>
      <c r="I593" s="24">
        <v>0.59</v>
      </c>
      <c r="J593" s="25">
        <v>1</v>
      </c>
      <c r="K593" s="25">
        <v>0</v>
      </c>
      <c r="L593" s="25">
        <v>133</v>
      </c>
      <c r="M593" s="18">
        <f t="shared" si="47"/>
        <v>475</v>
      </c>
      <c r="N593" s="19">
        <f t="shared" si="48"/>
        <v>45638</v>
      </c>
      <c r="O593" s="18" t="b">
        <f t="shared" si="46"/>
        <v>0</v>
      </c>
      <c r="P593" s="43" t="str">
        <f>IF(O593,swap_curve!$B$19,"")</f>
        <v/>
      </c>
      <c r="Q593" t="str">
        <f t="shared" si="49"/>
        <v/>
      </c>
      <c r="R593" t="str" cm="1">
        <f t="array" ref="R593">IF(O593,BSCall(swap_curve!$B$20,imvol!M593,imvol!P593,imvol!Q593,YEARFRAC(swap_curve!$C$1,imvol!N593)),"")</f>
        <v/>
      </c>
      <c r="S593" s="20" t="str">
        <f t="shared" si="45"/>
        <v/>
      </c>
    </row>
    <row r="594" spans="1:19" x14ac:dyDescent="0.3">
      <c r="A594" s="23" t="s">
        <v>502</v>
      </c>
      <c r="B594" s="23" t="s">
        <v>503</v>
      </c>
      <c r="C594" s="24" t="s">
        <v>23</v>
      </c>
      <c r="D594" s="24" t="s">
        <v>23</v>
      </c>
      <c r="E594" s="24" t="s">
        <v>23</v>
      </c>
      <c r="F594" s="24" t="s">
        <v>23</v>
      </c>
      <c r="G594" s="24" t="s">
        <v>23</v>
      </c>
      <c r="H594" s="24">
        <v>16.87</v>
      </c>
      <c r="I594" s="24">
        <v>0.51</v>
      </c>
      <c r="J594" s="25">
        <v>0</v>
      </c>
      <c r="K594" s="25">
        <v>0</v>
      </c>
      <c r="L594" s="25">
        <v>1183</v>
      </c>
      <c r="M594" s="18">
        <f t="shared" si="47"/>
        <v>480</v>
      </c>
      <c r="N594" s="19">
        <f t="shared" si="48"/>
        <v>45638</v>
      </c>
      <c r="O594" s="18" t="b">
        <f t="shared" si="46"/>
        <v>0</v>
      </c>
      <c r="P594" s="43" t="str">
        <f>IF(O594,swap_curve!$B$19,"")</f>
        <v/>
      </c>
      <c r="Q594" t="str">
        <f t="shared" si="49"/>
        <v/>
      </c>
      <c r="R594" t="str" cm="1">
        <f t="array" ref="R594">IF(O594,BSCall(swap_curve!$B$20,imvol!M594,imvol!P594,imvol!Q594,YEARFRAC(swap_curve!$C$1,imvol!N594)),"")</f>
        <v/>
      </c>
      <c r="S594" s="20" t="str">
        <f t="shared" si="45"/>
        <v/>
      </c>
    </row>
    <row r="595" spans="1:19" x14ac:dyDescent="0.3">
      <c r="A595" s="23" t="s">
        <v>504</v>
      </c>
      <c r="B595" s="23" t="s">
        <v>505</v>
      </c>
      <c r="C595" s="24" t="s">
        <v>23</v>
      </c>
      <c r="D595" s="24" t="s">
        <v>23</v>
      </c>
      <c r="E595" s="24" t="s">
        <v>23</v>
      </c>
      <c r="F595" s="24" t="s">
        <v>23</v>
      </c>
      <c r="G595" s="24" t="s">
        <v>23</v>
      </c>
      <c r="H595" s="24">
        <v>17.05</v>
      </c>
      <c r="I595" s="24">
        <v>0.44</v>
      </c>
      <c r="J595" s="25">
        <v>0</v>
      </c>
      <c r="K595" s="25">
        <v>0</v>
      </c>
      <c r="L595" s="25">
        <v>103</v>
      </c>
      <c r="M595" s="18">
        <f t="shared" si="47"/>
        <v>485</v>
      </c>
      <c r="N595" s="19">
        <f t="shared" si="48"/>
        <v>45638</v>
      </c>
      <c r="O595" s="18" t="b">
        <f t="shared" si="46"/>
        <v>0</v>
      </c>
      <c r="P595" s="43" t="str">
        <f>IF(O595,swap_curve!$B$19,"")</f>
        <v/>
      </c>
      <c r="Q595" t="str">
        <f t="shared" si="49"/>
        <v/>
      </c>
      <c r="R595" t="str" cm="1">
        <f t="array" ref="R595">IF(O595,BSCall(swap_curve!$B$20,imvol!M595,imvol!P595,imvol!Q595,YEARFRAC(swap_curve!$C$1,imvol!N595)),"")</f>
        <v/>
      </c>
      <c r="S595" s="20" t="str">
        <f t="shared" si="45"/>
        <v/>
      </c>
    </row>
    <row r="596" spans="1:19" x14ac:dyDescent="0.3">
      <c r="A596" s="23" t="s">
        <v>506</v>
      </c>
      <c r="B596" s="23" t="s">
        <v>507</v>
      </c>
      <c r="C596" s="24" t="s">
        <v>23</v>
      </c>
      <c r="D596" s="24" t="s">
        <v>23</v>
      </c>
      <c r="E596" s="24" t="s">
        <v>23</v>
      </c>
      <c r="F596" s="24" t="s">
        <v>23</v>
      </c>
      <c r="G596" s="24" t="s">
        <v>23</v>
      </c>
      <c r="H596" s="24">
        <v>17.23</v>
      </c>
      <c r="I596" s="24">
        <v>0.39</v>
      </c>
      <c r="J596" s="25">
        <v>0</v>
      </c>
      <c r="K596" s="25">
        <v>0</v>
      </c>
      <c r="L596" s="25">
        <v>306</v>
      </c>
      <c r="M596" s="18">
        <f t="shared" si="47"/>
        <v>490</v>
      </c>
      <c r="N596" s="19">
        <f t="shared" si="48"/>
        <v>45638</v>
      </c>
      <c r="O596" s="18" t="b">
        <f t="shared" si="46"/>
        <v>0</v>
      </c>
      <c r="P596" s="43" t="str">
        <f>IF(O596,swap_curve!$B$19,"")</f>
        <v/>
      </c>
      <c r="Q596" t="str">
        <f t="shared" si="49"/>
        <v/>
      </c>
      <c r="R596" t="str" cm="1">
        <f t="array" ref="R596">IF(O596,BSCall(swap_curve!$B$20,imvol!M596,imvol!P596,imvol!Q596,YEARFRAC(swap_curve!$C$1,imvol!N596)),"")</f>
        <v/>
      </c>
      <c r="S596" s="20" t="str">
        <f t="shared" si="45"/>
        <v/>
      </c>
    </row>
    <row r="597" spans="1:19" x14ac:dyDescent="0.3">
      <c r="A597" s="23" t="s">
        <v>508</v>
      </c>
      <c r="B597" s="23" t="s">
        <v>509</v>
      </c>
      <c r="C597" s="24" t="s">
        <v>23</v>
      </c>
      <c r="D597" s="24" t="s">
        <v>23</v>
      </c>
      <c r="E597" s="24" t="s">
        <v>23</v>
      </c>
      <c r="F597" s="24" t="s">
        <v>23</v>
      </c>
      <c r="G597" s="24" t="s">
        <v>23</v>
      </c>
      <c r="H597" s="24">
        <v>17.41</v>
      </c>
      <c r="I597" s="24">
        <v>0.35</v>
      </c>
      <c r="J597" s="25">
        <v>0</v>
      </c>
      <c r="K597" s="25">
        <v>0</v>
      </c>
      <c r="L597" s="25">
        <v>88</v>
      </c>
      <c r="M597" s="18">
        <f t="shared" si="47"/>
        <v>495</v>
      </c>
      <c r="N597" s="19">
        <f t="shared" si="48"/>
        <v>45638</v>
      </c>
      <c r="O597" s="18" t="b">
        <f t="shared" si="46"/>
        <v>0</v>
      </c>
      <c r="P597" s="43" t="str">
        <f>IF(O597,swap_curve!$B$19,"")</f>
        <v/>
      </c>
      <c r="Q597" t="str">
        <f t="shared" si="49"/>
        <v/>
      </c>
      <c r="R597" t="str" cm="1">
        <f t="array" ref="R597">IF(O597,BSCall(swap_curve!$B$20,imvol!M597,imvol!P597,imvol!Q597,YEARFRAC(swap_curve!$C$1,imvol!N597)),"")</f>
        <v/>
      </c>
      <c r="S597" s="20" t="str">
        <f t="shared" si="45"/>
        <v/>
      </c>
    </row>
    <row r="598" spans="1:19" x14ac:dyDescent="0.3">
      <c r="A598" s="23" t="s">
        <v>510</v>
      </c>
      <c r="B598" s="23" t="s">
        <v>511</v>
      </c>
      <c r="C598" s="24" t="s">
        <v>23</v>
      </c>
      <c r="D598" s="24" t="s">
        <v>23</v>
      </c>
      <c r="E598" s="24" t="s">
        <v>23</v>
      </c>
      <c r="F598" s="24" t="s">
        <v>23</v>
      </c>
      <c r="G598" s="24" t="s">
        <v>23</v>
      </c>
      <c r="H598" s="24">
        <v>17.579999999999998</v>
      </c>
      <c r="I598" s="24">
        <v>0.31</v>
      </c>
      <c r="J598" s="25">
        <v>0</v>
      </c>
      <c r="K598" s="25">
        <v>0</v>
      </c>
      <c r="L598" s="25">
        <v>429</v>
      </c>
      <c r="M598" s="18">
        <f t="shared" si="47"/>
        <v>500</v>
      </c>
      <c r="N598" s="19">
        <f t="shared" si="48"/>
        <v>45638</v>
      </c>
      <c r="O598" s="18" t="b">
        <f t="shared" si="46"/>
        <v>0</v>
      </c>
      <c r="P598" s="43" t="str">
        <f>IF(O598,swap_curve!$B$19,"")</f>
        <v/>
      </c>
      <c r="Q598" t="str">
        <f t="shared" si="49"/>
        <v/>
      </c>
      <c r="R598" t="str" cm="1">
        <f t="array" ref="R598">IF(O598,BSCall(swap_curve!$B$20,imvol!M598,imvol!P598,imvol!Q598,YEARFRAC(swap_curve!$C$1,imvol!N598)),"")</f>
        <v/>
      </c>
      <c r="S598" s="20" t="str">
        <f t="shared" si="45"/>
        <v/>
      </c>
    </row>
    <row r="599" spans="1:19" x14ac:dyDescent="0.3">
      <c r="A599" s="23" t="s">
        <v>512</v>
      </c>
      <c r="B599" s="23" t="s">
        <v>513</v>
      </c>
      <c r="C599" s="24" t="s">
        <v>23</v>
      </c>
      <c r="D599" s="24" t="s">
        <v>23</v>
      </c>
      <c r="E599" s="24" t="s">
        <v>23</v>
      </c>
      <c r="F599" s="24" t="s">
        <v>23</v>
      </c>
      <c r="G599" s="24" t="s">
        <v>23</v>
      </c>
      <c r="H599" s="24">
        <v>17.760000000000002</v>
      </c>
      <c r="I599" s="24">
        <v>0.26</v>
      </c>
      <c r="J599" s="25">
        <v>0</v>
      </c>
      <c r="K599" s="25">
        <v>0</v>
      </c>
      <c r="L599" s="25">
        <v>5</v>
      </c>
      <c r="M599" s="18">
        <f t="shared" si="47"/>
        <v>505</v>
      </c>
      <c r="N599" s="19">
        <f t="shared" si="48"/>
        <v>45638</v>
      </c>
      <c r="O599" s="18" t="b">
        <f t="shared" si="46"/>
        <v>0</v>
      </c>
      <c r="P599" s="43" t="str">
        <f>IF(O599,swap_curve!$B$19,"")</f>
        <v/>
      </c>
      <c r="Q599" t="str">
        <f t="shared" si="49"/>
        <v/>
      </c>
      <c r="R599" t="str" cm="1">
        <f t="array" ref="R599">IF(O599,BSCall(swap_curve!$B$20,imvol!M599,imvol!P599,imvol!Q599,YEARFRAC(swap_curve!$C$1,imvol!N599)),"")</f>
        <v/>
      </c>
      <c r="S599" s="20" t="str">
        <f t="shared" si="45"/>
        <v/>
      </c>
    </row>
    <row r="600" spans="1:19" x14ac:dyDescent="0.3">
      <c r="A600" s="23" t="s">
        <v>514</v>
      </c>
      <c r="B600" s="23" t="s">
        <v>515</v>
      </c>
      <c r="C600" s="24" t="s">
        <v>23</v>
      </c>
      <c r="D600" s="24" t="s">
        <v>23</v>
      </c>
      <c r="E600" s="24" t="s">
        <v>23</v>
      </c>
      <c r="F600" s="24" t="s">
        <v>23</v>
      </c>
      <c r="G600" s="24" t="s">
        <v>23</v>
      </c>
      <c r="H600" s="24">
        <v>17.940000000000001</v>
      </c>
      <c r="I600" s="24">
        <v>0.22</v>
      </c>
      <c r="J600" s="25">
        <v>0</v>
      </c>
      <c r="K600" s="25">
        <v>0</v>
      </c>
      <c r="L600" s="25">
        <v>497</v>
      </c>
      <c r="M600" s="18">
        <f t="shared" si="47"/>
        <v>510</v>
      </c>
      <c r="N600" s="19">
        <f t="shared" si="48"/>
        <v>45638</v>
      </c>
      <c r="O600" s="18" t="b">
        <f t="shared" si="46"/>
        <v>0</v>
      </c>
      <c r="P600" s="43" t="str">
        <f>IF(O600,swap_curve!$B$19,"")</f>
        <v/>
      </c>
      <c r="Q600" t="str">
        <f t="shared" si="49"/>
        <v/>
      </c>
      <c r="R600" t="str" cm="1">
        <f t="array" ref="R600">IF(O600,BSCall(swap_curve!$B$20,imvol!M600,imvol!P600,imvol!Q600,YEARFRAC(swap_curve!$C$1,imvol!N600)),"")</f>
        <v/>
      </c>
      <c r="S600" s="20" t="str">
        <f t="shared" si="45"/>
        <v/>
      </c>
    </row>
    <row r="601" spans="1:19" x14ac:dyDescent="0.3">
      <c r="A601" s="23" t="s">
        <v>516</v>
      </c>
      <c r="B601" s="23" t="s">
        <v>517</v>
      </c>
      <c r="C601" s="24" t="s">
        <v>23</v>
      </c>
      <c r="D601" s="24" t="s">
        <v>23</v>
      </c>
      <c r="E601" s="24" t="s">
        <v>23</v>
      </c>
      <c r="F601" s="24" t="s">
        <v>23</v>
      </c>
      <c r="G601" s="24" t="s">
        <v>23</v>
      </c>
      <c r="H601" s="24">
        <v>18.12</v>
      </c>
      <c r="I601" s="24">
        <v>0.2</v>
      </c>
      <c r="J601" s="25">
        <v>0</v>
      </c>
      <c r="K601" s="25">
        <v>0</v>
      </c>
      <c r="L601" s="25">
        <v>21</v>
      </c>
      <c r="M601" s="18">
        <f t="shared" si="47"/>
        <v>515</v>
      </c>
      <c r="N601" s="19">
        <f t="shared" si="48"/>
        <v>45638</v>
      </c>
      <c r="O601" s="18" t="b">
        <f t="shared" si="46"/>
        <v>0</v>
      </c>
      <c r="P601" s="43" t="str">
        <f>IF(O601,swap_curve!$B$19,"")</f>
        <v/>
      </c>
      <c r="Q601" t="str">
        <f t="shared" si="49"/>
        <v/>
      </c>
      <c r="R601" t="str" cm="1">
        <f t="array" ref="R601">IF(O601,BSCall(swap_curve!$B$20,imvol!M601,imvol!P601,imvol!Q601,YEARFRAC(swap_curve!$C$1,imvol!N601)),"")</f>
        <v/>
      </c>
      <c r="S601" s="20" t="str">
        <f t="shared" si="45"/>
        <v/>
      </c>
    </row>
    <row r="602" spans="1:19" x14ac:dyDescent="0.3">
      <c r="A602" s="23" t="s">
        <v>518</v>
      </c>
      <c r="B602" s="23" t="s">
        <v>519</v>
      </c>
      <c r="C602" s="24">
        <v>0.18</v>
      </c>
      <c r="D602" s="24">
        <v>0.05</v>
      </c>
      <c r="E602" s="24">
        <v>0.18</v>
      </c>
      <c r="F602" s="24">
        <v>0.18</v>
      </c>
      <c r="G602" s="24">
        <v>0.18</v>
      </c>
      <c r="H602" s="24">
        <v>18.3</v>
      </c>
      <c r="I602" s="24">
        <v>0.18</v>
      </c>
      <c r="J602" s="25">
        <v>1</v>
      </c>
      <c r="K602" s="25">
        <v>0</v>
      </c>
      <c r="L602" s="25">
        <v>1207</v>
      </c>
      <c r="M602" s="18">
        <f t="shared" si="47"/>
        <v>520</v>
      </c>
      <c r="N602" s="19">
        <f t="shared" si="48"/>
        <v>45638</v>
      </c>
      <c r="O602" s="18" t="b">
        <f t="shared" si="46"/>
        <v>0</v>
      </c>
      <c r="P602" s="43" t="str">
        <f>IF(O602,swap_curve!$B$19,"")</f>
        <v/>
      </c>
      <c r="Q602" t="str">
        <f t="shared" si="49"/>
        <v/>
      </c>
      <c r="R602" t="str" cm="1">
        <f t="array" ref="R602">IF(O602,BSCall(swap_curve!$B$20,imvol!M602,imvol!P602,imvol!Q602,YEARFRAC(swap_curve!$C$1,imvol!N602)),"")</f>
        <v/>
      </c>
      <c r="S602" s="20" t="str">
        <f t="shared" si="45"/>
        <v/>
      </c>
    </row>
    <row r="603" spans="1:19" x14ac:dyDescent="0.3">
      <c r="A603" s="23" t="s">
        <v>1398</v>
      </c>
      <c r="B603" s="23" t="s">
        <v>1399</v>
      </c>
      <c r="C603" s="24" t="s">
        <v>23</v>
      </c>
      <c r="D603" s="24" t="s">
        <v>23</v>
      </c>
      <c r="E603" s="24" t="s">
        <v>23</v>
      </c>
      <c r="F603" s="24" t="s">
        <v>23</v>
      </c>
      <c r="G603" s="24" t="s">
        <v>23</v>
      </c>
      <c r="H603" s="24">
        <v>16.100000000000001</v>
      </c>
      <c r="I603" s="24">
        <v>131.4</v>
      </c>
      <c r="J603" s="25">
        <v>0</v>
      </c>
      <c r="K603" s="25">
        <v>0</v>
      </c>
      <c r="L603" s="25">
        <v>0</v>
      </c>
      <c r="M603" s="18">
        <f t="shared" si="47"/>
        <v>235</v>
      </c>
      <c r="N603" s="19">
        <f t="shared" si="48"/>
        <v>45729</v>
      </c>
      <c r="O603" s="18" t="b">
        <f t="shared" si="46"/>
        <v>0</v>
      </c>
      <c r="P603" s="43" t="str">
        <f>IF(O603,swap_curve!$B$19,"")</f>
        <v/>
      </c>
      <c r="Q603" t="str">
        <f t="shared" si="49"/>
        <v/>
      </c>
      <c r="R603" t="str" cm="1">
        <f t="array" ref="R603">IF(O603,BSCall(swap_curve!$B$20,imvol!M603,imvol!P603,imvol!Q603,YEARFRAC(swap_curve!$C$1,imvol!N603)),"")</f>
        <v/>
      </c>
      <c r="S603" s="20" t="str">
        <f t="shared" si="45"/>
        <v/>
      </c>
    </row>
    <row r="604" spans="1:19" x14ac:dyDescent="0.3">
      <c r="A604" s="23" t="s">
        <v>1400</v>
      </c>
      <c r="B604" s="23" t="s">
        <v>1401</v>
      </c>
      <c r="C604" s="24" t="s">
        <v>23</v>
      </c>
      <c r="D604" s="24" t="s">
        <v>23</v>
      </c>
      <c r="E604" s="24" t="s">
        <v>23</v>
      </c>
      <c r="F604" s="24" t="s">
        <v>23</v>
      </c>
      <c r="G604" s="24" t="s">
        <v>23</v>
      </c>
      <c r="H604" s="24">
        <v>16.100000000000001</v>
      </c>
      <c r="I604" s="24">
        <v>126.6</v>
      </c>
      <c r="J604" s="25">
        <v>0</v>
      </c>
      <c r="K604" s="25">
        <v>0</v>
      </c>
      <c r="L604" s="25">
        <v>0</v>
      </c>
      <c r="M604" s="18">
        <f t="shared" si="47"/>
        <v>240</v>
      </c>
      <c r="N604" s="19">
        <f t="shared" si="48"/>
        <v>45729</v>
      </c>
      <c r="O604" s="18" t="b">
        <f t="shared" si="46"/>
        <v>0</v>
      </c>
      <c r="P604" s="43" t="str">
        <f>IF(O604,swap_curve!$B$19,"")</f>
        <v/>
      </c>
      <c r="Q604" t="str">
        <f t="shared" si="49"/>
        <v/>
      </c>
      <c r="R604" t="str" cm="1">
        <f t="array" ref="R604">IF(O604,BSCall(swap_curve!$B$20,imvol!M604,imvol!P604,imvol!Q604,YEARFRAC(swap_curve!$C$1,imvol!N604)),"")</f>
        <v/>
      </c>
      <c r="S604" s="20" t="str">
        <f t="shared" si="45"/>
        <v/>
      </c>
    </row>
    <row r="605" spans="1:19" x14ac:dyDescent="0.3">
      <c r="A605" s="23" t="s">
        <v>1402</v>
      </c>
      <c r="B605" s="23" t="s">
        <v>1403</v>
      </c>
      <c r="C605" s="24" t="s">
        <v>23</v>
      </c>
      <c r="D605" s="24" t="s">
        <v>23</v>
      </c>
      <c r="E605" s="24" t="s">
        <v>23</v>
      </c>
      <c r="F605" s="24" t="s">
        <v>23</v>
      </c>
      <c r="G605" s="24" t="s">
        <v>23</v>
      </c>
      <c r="H605" s="24">
        <v>16.100000000000001</v>
      </c>
      <c r="I605" s="24">
        <v>121.75</v>
      </c>
      <c r="J605" s="25">
        <v>0</v>
      </c>
      <c r="K605" s="25">
        <v>0</v>
      </c>
      <c r="L605" s="25">
        <v>0</v>
      </c>
      <c r="M605" s="18">
        <f t="shared" si="47"/>
        <v>245</v>
      </c>
      <c r="N605" s="19">
        <f t="shared" si="48"/>
        <v>45729</v>
      </c>
      <c r="O605" s="18" t="b">
        <f t="shared" si="46"/>
        <v>0</v>
      </c>
      <c r="P605" s="43" t="str">
        <f>IF(O605,swap_curve!$B$19,"")</f>
        <v/>
      </c>
      <c r="Q605" t="str">
        <f t="shared" si="49"/>
        <v/>
      </c>
      <c r="R605" t="str" cm="1">
        <f t="array" ref="R605">IF(O605,BSCall(swap_curve!$B$20,imvol!M605,imvol!P605,imvol!Q605,YEARFRAC(swap_curve!$C$1,imvol!N605)),"")</f>
        <v/>
      </c>
      <c r="S605" s="20" t="str">
        <f t="shared" si="45"/>
        <v/>
      </c>
    </row>
    <row r="606" spans="1:19" x14ac:dyDescent="0.3">
      <c r="A606" s="23" t="s">
        <v>1404</v>
      </c>
      <c r="B606" s="23" t="s">
        <v>1405</v>
      </c>
      <c r="C606" s="24" t="s">
        <v>23</v>
      </c>
      <c r="D606" s="24" t="s">
        <v>23</v>
      </c>
      <c r="E606" s="24" t="s">
        <v>23</v>
      </c>
      <c r="F606" s="24" t="s">
        <v>23</v>
      </c>
      <c r="G606" s="24" t="s">
        <v>23</v>
      </c>
      <c r="H606" s="24">
        <v>16.100000000000001</v>
      </c>
      <c r="I606" s="24">
        <v>116.9</v>
      </c>
      <c r="J606" s="25">
        <v>0</v>
      </c>
      <c r="K606" s="25">
        <v>0</v>
      </c>
      <c r="L606" s="25">
        <v>0</v>
      </c>
      <c r="M606" s="18">
        <f t="shared" si="47"/>
        <v>250</v>
      </c>
      <c r="N606" s="19">
        <f t="shared" si="48"/>
        <v>45729</v>
      </c>
      <c r="O606" s="18" t="b">
        <f t="shared" si="46"/>
        <v>0</v>
      </c>
      <c r="P606" s="43" t="str">
        <f>IF(O606,swap_curve!$B$19,"")</f>
        <v/>
      </c>
      <c r="Q606" t="str">
        <f t="shared" si="49"/>
        <v/>
      </c>
      <c r="R606" t="str" cm="1">
        <f t="array" ref="R606">IF(O606,BSCall(swap_curve!$B$20,imvol!M606,imvol!P606,imvol!Q606,YEARFRAC(swap_curve!$C$1,imvol!N606)),"")</f>
        <v/>
      </c>
      <c r="S606" s="20" t="str">
        <f t="shared" si="45"/>
        <v/>
      </c>
    </row>
    <row r="607" spans="1:19" x14ac:dyDescent="0.3">
      <c r="A607" s="23" t="s">
        <v>1406</v>
      </c>
      <c r="B607" s="23" t="s">
        <v>1407</v>
      </c>
      <c r="C607" s="24" t="s">
        <v>23</v>
      </c>
      <c r="D607" s="24" t="s">
        <v>23</v>
      </c>
      <c r="E607" s="24" t="s">
        <v>23</v>
      </c>
      <c r="F607" s="24" t="s">
        <v>23</v>
      </c>
      <c r="G607" s="24" t="s">
        <v>23</v>
      </c>
      <c r="H607" s="24">
        <v>16.100000000000001</v>
      </c>
      <c r="I607" s="24">
        <v>112.1</v>
      </c>
      <c r="J607" s="25">
        <v>0</v>
      </c>
      <c r="K607" s="25">
        <v>0</v>
      </c>
      <c r="L607" s="25">
        <v>0</v>
      </c>
      <c r="M607" s="18">
        <f t="shared" si="47"/>
        <v>255</v>
      </c>
      <c r="N607" s="19">
        <f t="shared" si="48"/>
        <v>45729</v>
      </c>
      <c r="O607" s="18" t="b">
        <f t="shared" si="46"/>
        <v>0</v>
      </c>
      <c r="P607" s="43" t="str">
        <f>IF(O607,swap_curve!$B$19,"")</f>
        <v/>
      </c>
      <c r="Q607" t="str">
        <f t="shared" si="49"/>
        <v/>
      </c>
      <c r="R607" t="str" cm="1">
        <f t="array" ref="R607">IF(O607,BSCall(swap_curve!$B$20,imvol!M607,imvol!P607,imvol!Q607,YEARFRAC(swap_curve!$C$1,imvol!N607)),"")</f>
        <v/>
      </c>
      <c r="S607" s="20" t="str">
        <f t="shared" si="45"/>
        <v/>
      </c>
    </row>
    <row r="608" spans="1:19" x14ac:dyDescent="0.3">
      <c r="A608" s="23" t="s">
        <v>1408</v>
      </c>
      <c r="B608" s="23" t="s">
        <v>1409</v>
      </c>
      <c r="C608" s="24" t="s">
        <v>23</v>
      </c>
      <c r="D608" s="24" t="s">
        <v>23</v>
      </c>
      <c r="E608" s="24" t="s">
        <v>23</v>
      </c>
      <c r="F608" s="24" t="s">
        <v>23</v>
      </c>
      <c r="G608" s="24" t="s">
        <v>23</v>
      </c>
      <c r="H608" s="24">
        <v>16.100000000000001</v>
      </c>
      <c r="I608" s="24">
        <v>107.3</v>
      </c>
      <c r="J608" s="25">
        <v>0</v>
      </c>
      <c r="K608" s="25">
        <v>0</v>
      </c>
      <c r="L608" s="25">
        <v>0</v>
      </c>
      <c r="M608" s="18">
        <f t="shared" si="47"/>
        <v>260</v>
      </c>
      <c r="N608" s="19">
        <f t="shared" si="48"/>
        <v>45729</v>
      </c>
      <c r="O608" s="18" t="b">
        <f t="shared" si="46"/>
        <v>0</v>
      </c>
      <c r="P608" s="43" t="str">
        <f>IF(O608,swap_curve!$B$19,"")</f>
        <v/>
      </c>
      <c r="Q608" t="str">
        <f t="shared" si="49"/>
        <v/>
      </c>
      <c r="R608" t="str" cm="1">
        <f t="array" ref="R608">IF(O608,BSCall(swap_curve!$B$20,imvol!M608,imvol!P608,imvol!Q608,YEARFRAC(swap_curve!$C$1,imvol!N608)),"")</f>
        <v/>
      </c>
      <c r="S608" s="20" t="str">
        <f t="shared" si="45"/>
        <v/>
      </c>
    </row>
    <row r="609" spans="1:19" x14ac:dyDescent="0.3">
      <c r="A609" s="23" t="s">
        <v>1410</v>
      </c>
      <c r="B609" s="23" t="s">
        <v>1411</v>
      </c>
      <c r="C609" s="24" t="s">
        <v>23</v>
      </c>
      <c r="D609" s="24" t="s">
        <v>23</v>
      </c>
      <c r="E609" s="24" t="s">
        <v>23</v>
      </c>
      <c r="F609" s="24" t="s">
        <v>23</v>
      </c>
      <c r="G609" s="24" t="s">
        <v>23</v>
      </c>
      <c r="H609" s="24">
        <v>16.100000000000001</v>
      </c>
      <c r="I609" s="24">
        <v>102.55</v>
      </c>
      <c r="J609" s="25">
        <v>0</v>
      </c>
      <c r="K609" s="25">
        <v>0</v>
      </c>
      <c r="L609" s="25">
        <v>0</v>
      </c>
      <c r="M609" s="18">
        <f t="shared" si="47"/>
        <v>265</v>
      </c>
      <c r="N609" s="19">
        <f t="shared" si="48"/>
        <v>45729</v>
      </c>
      <c r="O609" s="18" t="b">
        <f t="shared" si="46"/>
        <v>0</v>
      </c>
      <c r="P609" s="43" t="str">
        <f>IF(O609,swap_curve!$B$19,"")</f>
        <v/>
      </c>
      <c r="Q609" t="str">
        <f t="shared" si="49"/>
        <v/>
      </c>
      <c r="R609" t="str" cm="1">
        <f t="array" ref="R609">IF(O609,BSCall(swap_curve!$B$20,imvol!M609,imvol!P609,imvol!Q609,YEARFRAC(swap_curve!$C$1,imvol!N609)),"")</f>
        <v/>
      </c>
      <c r="S609" s="20" t="str">
        <f t="shared" si="45"/>
        <v/>
      </c>
    </row>
    <row r="610" spans="1:19" x14ac:dyDescent="0.3">
      <c r="A610" s="23" t="s">
        <v>1412</v>
      </c>
      <c r="B610" s="23" t="s">
        <v>1413</v>
      </c>
      <c r="C610" s="24" t="s">
        <v>23</v>
      </c>
      <c r="D610" s="24" t="s">
        <v>23</v>
      </c>
      <c r="E610" s="24" t="s">
        <v>23</v>
      </c>
      <c r="F610" s="24" t="s">
        <v>23</v>
      </c>
      <c r="G610" s="24" t="s">
        <v>23</v>
      </c>
      <c r="H610" s="24">
        <v>16.100000000000001</v>
      </c>
      <c r="I610" s="24">
        <v>97.75</v>
      </c>
      <c r="J610" s="25">
        <v>0</v>
      </c>
      <c r="K610" s="25">
        <v>0</v>
      </c>
      <c r="L610" s="25">
        <v>0</v>
      </c>
      <c r="M610" s="18">
        <f t="shared" si="47"/>
        <v>270</v>
      </c>
      <c r="N610" s="19">
        <f t="shared" si="48"/>
        <v>45729</v>
      </c>
      <c r="O610" s="18" t="b">
        <f t="shared" si="46"/>
        <v>0</v>
      </c>
      <c r="P610" s="43" t="str">
        <f>IF(O610,swap_curve!$B$19,"")</f>
        <v/>
      </c>
      <c r="Q610" t="str">
        <f t="shared" si="49"/>
        <v/>
      </c>
      <c r="R610" t="str" cm="1">
        <f t="array" ref="R610">IF(O610,BSCall(swap_curve!$B$20,imvol!M610,imvol!P610,imvol!Q610,YEARFRAC(swap_curve!$C$1,imvol!N610)),"")</f>
        <v/>
      </c>
      <c r="S610" s="20" t="str">
        <f t="shared" si="45"/>
        <v/>
      </c>
    </row>
    <row r="611" spans="1:19" x14ac:dyDescent="0.3">
      <c r="A611" s="23" t="s">
        <v>1414</v>
      </c>
      <c r="B611" s="23" t="s">
        <v>1415</v>
      </c>
      <c r="C611" s="24" t="s">
        <v>23</v>
      </c>
      <c r="D611" s="24" t="s">
        <v>23</v>
      </c>
      <c r="E611" s="24" t="s">
        <v>23</v>
      </c>
      <c r="F611" s="24" t="s">
        <v>23</v>
      </c>
      <c r="G611" s="24" t="s">
        <v>23</v>
      </c>
      <c r="H611" s="24">
        <v>16.100000000000001</v>
      </c>
      <c r="I611" s="24">
        <v>93.05</v>
      </c>
      <c r="J611" s="25">
        <v>0</v>
      </c>
      <c r="K611" s="25">
        <v>0</v>
      </c>
      <c r="L611" s="25">
        <v>0</v>
      </c>
      <c r="M611" s="18">
        <f t="shared" si="47"/>
        <v>275</v>
      </c>
      <c r="N611" s="19">
        <f t="shared" si="48"/>
        <v>45729</v>
      </c>
      <c r="O611" s="18" t="b">
        <f t="shared" si="46"/>
        <v>0</v>
      </c>
      <c r="P611" s="43" t="str">
        <f>IF(O611,swap_curve!$B$19,"")</f>
        <v/>
      </c>
      <c r="Q611" t="str">
        <f t="shared" si="49"/>
        <v/>
      </c>
      <c r="R611" t="str" cm="1">
        <f t="array" ref="R611">IF(O611,BSCall(swap_curve!$B$20,imvol!M611,imvol!P611,imvol!Q611,YEARFRAC(swap_curve!$C$1,imvol!N611)),"")</f>
        <v/>
      </c>
      <c r="S611" s="20" t="str">
        <f t="shared" si="45"/>
        <v/>
      </c>
    </row>
    <row r="612" spans="1:19" x14ac:dyDescent="0.3">
      <c r="A612" s="23" t="s">
        <v>1416</v>
      </c>
      <c r="B612" s="23" t="s">
        <v>1417</v>
      </c>
      <c r="C612" s="24" t="s">
        <v>23</v>
      </c>
      <c r="D612" s="24" t="s">
        <v>23</v>
      </c>
      <c r="E612" s="24" t="s">
        <v>23</v>
      </c>
      <c r="F612" s="24" t="s">
        <v>23</v>
      </c>
      <c r="G612" s="24" t="s">
        <v>23</v>
      </c>
      <c r="H612" s="24">
        <v>16.100000000000001</v>
      </c>
      <c r="I612" s="24">
        <v>88.35</v>
      </c>
      <c r="J612" s="25">
        <v>0</v>
      </c>
      <c r="K612" s="25">
        <v>0</v>
      </c>
      <c r="L612" s="25">
        <v>0</v>
      </c>
      <c r="M612" s="18">
        <f t="shared" si="47"/>
        <v>280</v>
      </c>
      <c r="N612" s="19">
        <f t="shared" si="48"/>
        <v>45729</v>
      </c>
      <c r="O612" s="18" t="b">
        <f t="shared" si="46"/>
        <v>0</v>
      </c>
      <c r="P612" s="43" t="str">
        <f>IF(O612,swap_curve!$B$19,"")</f>
        <v/>
      </c>
      <c r="Q612" t="str">
        <f t="shared" si="49"/>
        <v/>
      </c>
      <c r="R612" t="str" cm="1">
        <f t="array" ref="R612">IF(O612,BSCall(swap_curve!$B$20,imvol!M612,imvol!P612,imvol!Q612,YEARFRAC(swap_curve!$C$1,imvol!N612)),"")</f>
        <v/>
      </c>
      <c r="S612" s="20" t="str">
        <f t="shared" si="45"/>
        <v/>
      </c>
    </row>
    <row r="613" spans="1:19" x14ac:dyDescent="0.3">
      <c r="A613" s="23" t="s">
        <v>1418</v>
      </c>
      <c r="B613" s="23" t="s">
        <v>1419</v>
      </c>
      <c r="C613" s="24" t="s">
        <v>23</v>
      </c>
      <c r="D613" s="24" t="s">
        <v>23</v>
      </c>
      <c r="E613" s="24" t="s">
        <v>23</v>
      </c>
      <c r="F613" s="24" t="s">
        <v>23</v>
      </c>
      <c r="G613" s="24" t="s">
        <v>23</v>
      </c>
      <c r="H613" s="24">
        <v>16.100000000000001</v>
      </c>
      <c r="I613" s="24">
        <v>83.7</v>
      </c>
      <c r="J613" s="25">
        <v>0</v>
      </c>
      <c r="K613" s="25">
        <v>0</v>
      </c>
      <c r="L613" s="25">
        <v>0</v>
      </c>
      <c r="M613" s="18">
        <f t="shared" si="47"/>
        <v>285</v>
      </c>
      <c r="N613" s="19">
        <f t="shared" si="48"/>
        <v>45729</v>
      </c>
      <c r="O613" s="18" t="b">
        <f t="shared" si="46"/>
        <v>0</v>
      </c>
      <c r="P613" s="43" t="str">
        <f>IF(O613,swap_curve!$B$19,"")</f>
        <v/>
      </c>
      <c r="Q613" t="str">
        <f t="shared" si="49"/>
        <v/>
      </c>
      <c r="R613" t="str" cm="1">
        <f t="array" ref="R613">IF(O613,BSCall(swap_curve!$B$20,imvol!M613,imvol!P613,imvol!Q613,YEARFRAC(swap_curve!$C$1,imvol!N613)),"")</f>
        <v/>
      </c>
      <c r="S613" s="20" t="str">
        <f t="shared" si="45"/>
        <v/>
      </c>
    </row>
    <row r="614" spans="1:19" x14ac:dyDescent="0.3">
      <c r="A614" s="23" t="s">
        <v>1420</v>
      </c>
      <c r="B614" s="23" t="s">
        <v>1421</v>
      </c>
      <c r="C614" s="24" t="s">
        <v>23</v>
      </c>
      <c r="D614" s="24" t="s">
        <v>23</v>
      </c>
      <c r="E614" s="24" t="s">
        <v>23</v>
      </c>
      <c r="F614" s="24" t="s">
        <v>23</v>
      </c>
      <c r="G614" s="24" t="s">
        <v>23</v>
      </c>
      <c r="H614" s="24">
        <v>16.100000000000001</v>
      </c>
      <c r="I614" s="24">
        <v>79.150000000000006</v>
      </c>
      <c r="J614" s="25">
        <v>0</v>
      </c>
      <c r="K614" s="25">
        <v>0</v>
      </c>
      <c r="L614" s="25">
        <v>0</v>
      </c>
      <c r="M614" s="18">
        <f t="shared" si="47"/>
        <v>290</v>
      </c>
      <c r="N614" s="19">
        <f t="shared" si="48"/>
        <v>45729</v>
      </c>
      <c r="O614" s="18" t="b">
        <f t="shared" si="46"/>
        <v>0</v>
      </c>
      <c r="P614" s="43" t="str">
        <f>IF(O614,swap_curve!$B$19,"")</f>
        <v/>
      </c>
      <c r="Q614" t="str">
        <f t="shared" si="49"/>
        <v/>
      </c>
      <c r="R614" t="str" cm="1">
        <f t="array" ref="R614">IF(O614,BSCall(swap_curve!$B$20,imvol!M614,imvol!P614,imvol!Q614,YEARFRAC(swap_curve!$C$1,imvol!N614)),"")</f>
        <v/>
      </c>
      <c r="S614" s="20" t="str">
        <f t="shared" si="45"/>
        <v/>
      </c>
    </row>
    <row r="615" spans="1:19" x14ac:dyDescent="0.3">
      <c r="A615" s="23" t="s">
        <v>1422</v>
      </c>
      <c r="B615" s="23" t="s">
        <v>1423</v>
      </c>
      <c r="C615" s="24" t="s">
        <v>23</v>
      </c>
      <c r="D615" s="24" t="s">
        <v>23</v>
      </c>
      <c r="E615" s="24" t="s">
        <v>23</v>
      </c>
      <c r="F615" s="24" t="s">
        <v>23</v>
      </c>
      <c r="G615" s="24" t="s">
        <v>23</v>
      </c>
      <c r="H615" s="24">
        <v>16.100000000000001</v>
      </c>
      <c r="I615" s="24">
        <v>74.55</v>
      </c>
      <c r="J615" s="25">
        <v>0</v>
      </c>
      <c r="K615" s="25">
        <v>0</v>
      </c>
      <c r="L615" s="25">
        <v>0</v>
      </c>
      <c r="M615" s="18">
        <f t="shared" si="47"/>
        <v>295</v>
      </c>
      <c r="N615" s="19">
        <f t="shared" si="48"/>
        <v>45729</v>
      </c>
      <c r="O615" s="18" t="b">
        <f t="shared" si="46"/>
        <v>0</v>
      </c>
      <c r="P615" s="43" t="str">
        <f>IF(O615,swap_curve!$B$19,"")</f>
        <v/>
      </c>
      <c r="Q615" t="str">
        <f t="shared" si="49"/>
        <v/>
      </c>
      <c r="R615" t="str" cm="1">
        <f t="array" ref="R615">IF(O615,BSCall(swap_curve!$B$20,imvol!M615,imvol!P615,imvol!Q615,YEARFRAC(swap_curve!$C$1,imvol!N615)),"")</f>
        <v/>
      </c>
      <c r="S615" s="20" t="str">
        <f t="shared" si="45"/>
        <v/>
      </c>
    </row>
    <row r="616" spans="1:19" x14ac:dyDescent="0.3">
      <c r="A616" s="23" t="s">
        <v>1424</v>
      </c>
      <c r="B616" s="23" t="s">
        <v>1425</v>
      </c>
      <c r="C616" s="24" t="s">
        <v>23</v>
      </c>
      <c r="D616" s="24" t="s">
        <v>23</v>
      </c>
      <c r="E616" s="24" t="s">
        <v>23</v>
      </c>
      <c r="F616" s="24" t="s">
        <v>23</v>
      </c>
      <c r="G616" s="24" t="s">
        <v>23</v>
      </c>
      <c r="H616" s="24">
        <v>16.100000000000001</v>
      </c>
      <c r="I616" s="24">
        <v>70.150000000000006</v>
      </c>
      <c r="J616" s="25">
        <v>0</v>
      </c>
      <c r="K616" s="25">
        <v>0</v>
      </c>
      <c r="L616" s="25">
        <v>0</v>
      </c>
      <c r="M616" s="18">
        <f t="shared" si="47"/>
        <v>300</v>
      </c>
      <c r="N616" s="19">
        <f t="shared" si="48"/>
        <v>45729</v>
      </c>
      <c r="O616" s="18" t="b">
        <f t="shared" si="46"/>
        <v>0</v>
      </c>
      <c r="P616" s="43" t="str">
        <f>IF(O616,swap_curve!$B$19,"")</f>
        <v/>
      </c>
      <c r="Q616" t="str">
        <f t="shared" si="49"/>
        <v/>
      </c>
      <c r="R616" t="str" cm="1">
        <f t="array" ref="R616">IF(O616,BSCall(swap_curve!$B$20,imvol!M616,imvol!P616,imvol!Q616,YEARFRAC(swap_curve!$C$1,imvol!N616)),"")</f>
        <v/>
      </c>
      <c r="S616" s="20" t="str">
        <f t="shared" si="45"/>
        <v/>
      </c>
    </row>
    <row r="617" spans="1:19" x14ac:dyDescent="0.3">
      <c r="A617" s="23" t="s">
        <v>1426</v>
      </c>
      <c r="B617" s="23" t="s">
        <v>1427</v>
      </c>
      <c r="C617" s="24" t="s">
        <v>23</v>
      </c>
      <c r="D617" s="24" t="s">
        <v>23</v>
      </c>
      <c r="E617" s="24" t="s">
        <v>23</v>
      </c>
      <c r="F617" s="24" t="s">
        <v>23</v>
      </c>
      <c r="G617" s="24" t="s">
        <v>23</v>
      </c>
      <c r="H617" s="24">
        <v>16.100000000000001</v>
      </c>
      <c r="I617" s="24">
        <v>65.8</v>
      </c>
      <c r="J617" s="25">
        <v>0</v>
      </c>
      <c r="K617" s="25">
        <v>0</v>
      </c>
      <c r="L617" s="25">
        <v>0</v>
      </c>
      <c r="M617" s="18">
        <f t="shared" si="47"/>
        <v>305</v>
      </c>
      <c r="N617" s="19">
        <f t="shared" si="48"/>
        <v>45729</v>
      </c>
      <c r="O617" s="18" t="b">
        <f t="shared" si="46"/>
        <v>0</v>
      </c>
      <c r="P617" s="43" t="str">
        <f>IF(O617,swap_curve!$B$19,"")</f>
        <v/>
      </c>
      <c r="Q617" t="str">
        <f t="shared" si="49"/>
        <v/>
      </c>
      <c r="R617" t="str" cm="1">
        <f t="array" ref="R617">IF(O617,BSCall(swap_curve!$B$20,imvol!M617,imvol!P617,imvol!Q617,YEARFRAC(swap_curve!$C$1,imvol!N617)),"")</f>
        <v/>
      </c>
      <c r="S617" s="20" t="str">
        <f t="shared" si="45"/>
        <v/>
      </c>
    </row>
    <row r="618" spans="1:19" x14ac:dyDescent="0.3">
      <c r="A618" s="23" t="s">
        <v>1428</v>
      </c>
      <c r="B618" s="23" t="s">
        <v>1429</v>
      </c>
      <c r="C618" s="24" t="s">
        <v>23</v>
      </c>
      <c r="D618" s="24" t="s">
        <v>23</v>
      </c>
      <c r="E618" s="24" t="s">
        <v>23</v>
      </c>
      <c r="F618" s="24" t="s">
        <v>23</v>
      </c>
      <c r="G618" s="24" t="s">
        <v>23</v>
      </c>
      <c r="H618" s="24">
        <v>16.100000000000001</v>
      </c>
      <c r="I618" s="24">
        <v>61.5</v>
      </c>
      <c r="J618" s="25">
        <v>0</v>
      </c>
      <c r="K618" s="25">
        <v>0</v>
      </c>
      <c r="L618" s="25">
        <v>0</v>
      </c>
      <c r="M618" s="18">
        <f t="shared" si="47"/>
        <v>310</v>
      </c>
      <c r="N618" s="19">
        <f t="shared" si="48"/>
        <v>45729</v>
      </c>
      <c r="O618" s="18" t="b">
        <f t="shared" si="46"/>
        <v>0</v>
      </c>
      <c r="P618" s="43" t="str">
        <f>IF(O618,swap_curve!$B$19,"")</f>
        <v/>
      </c>
      <c r="Q618" t="str">
        <f t="shared" si="49"/>
        <v/>
      </c>
      <c r="R618" t="str" cm="1">
        <f t="array" ref="R618">IF(O618,BSCall(swap_curve!$B$20,imvol!M618,imvol!P618,imvol!Q618,YEARFRAC(swap_curve!$C$1,imvol!N618)),"")</f>
        <v/>
      </c>
      <c r="S618" s="20" t="str">
        <f t="shared" si="45"/>
        <v/>
      </c>
    </row>
    <row r="619" spans="1:19" x14ac:dyDescent="0.3">
      <c r="A619" s="23" t="s">
        <v>1430</v>
      </c>
      <c r="B619" s="23" t="s">
        <v>1431</v>
      </c>
      <c r="C619" s="24" t="s">
        <v>23</v>
      </c>
      <c r="D619" s="24" t="s">
        <v>23</v>
      </c>
      <c r="E619" s="24" t="s">
        <v>23</v>
      </c>
      <c r="F619" s="24" t="s">
        <v>23</v>
      </c>
      <c r="G619" s="24" t="s">
        <v>23</v>
      </c>
      <c r="H619" s="24">
        <v>16.100000000000001</v>
      </c>
      <c r="I619" s="24">
        <v>57.45</v>
      </c>
      <c r="J619" s="25">
        <v>0</v>
      </c>
      <c r="K619" s="25">
        <v>0</v>
      </c>
      <c r="L619" s="25">
        <v>0</v>
      </c>
      <c r="M619" s="18">
        <f t="shared" si="47"/>
        <v>315</v>
      </c>
      <c r="N619" s="19">
        <f t="shared" si="48"/>
        <v>45729</v>
      </c>
      <c r="O619" s="18" t="b">
        <f t="shared" si="46"/>
        <v>0</v>
      </c>
      <c r="P619" s="43" t="str">
        <f>IF(O619,swap_curve!$B$19,"")</f>
        <v/>
      </c>
      <c r="Q619" t="str">
        <f t="shared" si="49"/>
        <v/>
      </c>
      <c r="R619" t="str" cm="1">
        <f t="array" ref="R619">IF(O619,BSCall(swap_curve!$B$20,imvol!M619,imvol!P619,imvol!Q619,YEARFRAC(swap_curve!$C$1,imvol!N619)),"")</f>
        <v/>
      </c>
      <c r="S619" s="20" t="str">
        <f t="shared" si="45"/>
        <v/>
      </c>
    </row>
    <row r="620" spans="1:19" x14ac:dyDescent="0.3">
      <c r="A620" s="23" t="s">
        <v>1432</v>
      </c>
      <c r="B620" s="23" t="s">
        <v>1433</v>
      </c>
      <c r="C620" s="24" t="s">
        <v>23</v>
      </c>
      <c r="D620" s="24" t="s">
        <v>23</v>
      </c>
      <c r="E620" s="24" t="s">
        <v>23</v>
      </c>
      <c r="F620" s="24" t="s">
        <v>23</v>
      </c>
      <c r="G620" s="24" t="s">
        <v>23</v>
      </c>
      <c r="H620" s="24">
        <v>16.100000000000001</v>
      </c>
      <c r="I620" s="24">
        <v>53.4</v>
      </c>
      <c r="J620" s="25">
        <v>0</v>
      </c>
      <c r="K620" s="25">
        <v>0</v>
      </c>
      <c r="L620" s="25">
        <v>0</v>
      </c>
      <c r="M620" s="18">
        <f t="shared" si="47"/>
        <v>320</v>
      </c>
      <c r="N620" s="19">
        <f t="shared" si="48"/>
        <v>45729</v>
      </c>
      <c r="O620" s="18" t="b">
        <f t="shared" si="46"/>
        <v>0</v>
      </c>
      <c r="P620" s="43" t="str">
        <f>IF(O620,swap_curve!$B$19,"")</f>
        <v/>
      </c>
      <c r="Q620" t="str">
        <f t="shared" si="49"/>
        <v/>
      </c>
      <c r="R620" t="str" cm="1">
        <f t="array" ref="R620">IF(O620,BSCall(swap_curve!$B$20,imvol!M620,imvol!P620,imvol!Q620,YEARFRAC(swap_curve!$C$1,imvol!N620)),"")</f>
        <v/>
      </c>
      <c r="S620" s="20" t="str">
        <f t="shared" si="45"/>
        <v/>
      </c>
    </row>
    <row r="621" spans="1:19" x14ac:dyDescent="0.3">
      <c r="A621" s="23" t="s">
        <v>1434</v>
      </c>
      <c r="B621" s="23" t="s">
        <v>1435</v>
      </c>
      <c r="C621" s="24" t="s">
        <v>23</v>
      </c>
      <c r="D621" s="24" t="s">
        <v>23</v>
      </c>
      <c r="E621" s="24" t="s">
        <v>23</v>
      </c>
      <c r="F621" s="24" t="s">
        <v>23</v>
      </c>
      <c r="G621" s="24" t="s">
        <v>23</v>
      </c>
      <c r="H621" s="24">
        <v>16.100000000000001</v>
      </c>
      <c r="I621" s="24">
        <v>49.5</v>
      </c>
      <c r="J621" s="25">
        <v>0</v>
      </c>
      <c r="K621" s="25">
        <v>0</v>
      </c>
      <c r="L621" s="25">
        <v>0</v>
      </c>
      <c r="M621" s="18">
        <f t="shared" si="47"/>
        <v>325</v>
      </c>
      <c r="N621" s="19">
        <f t="shared" si="48"/>
        <v>45729</v>
      </c>
      <c r="O621" s="18" t="b">
        <f t="shared" si="46"/>
        <v>0</v>
      </c>
      <c r="P621" s="43" t="str">
        <f>IF(O621,swap_curve!$B$19,"")</f>
        <v/>
      </c>
      <c r="Q621" t="str">
        <f t="shared" si="49"/>
        <v/>
      </c>
      <c r="R621" t="str" cm="1">
        <f t="array" ref="R621">IF(O621,BSCall(swap_curve!$B$20,imvol!M621,imvol!P621,imvol!Q621,YEARFRAC(swap_curve!$C$1,imvol!N621)),"")</f>
        <v/>
      </c>
      <c r="S621" s="20" t="str">
        <f t="shared" si="45"/>
        <v/>
      </c>
    </row>
    <row r="622" spans="1:19" x14ac:dyDescent="0.3">
      <c r="A622" s="23" t="s">
        <v>1436</v>
      </c>
      <c r="B622" s="23" t="s">
        <v>1437</v>
      </c>
      <c r="C622" s="24" t="s">
        <v>23</v>
      </c>
      <c r="D622" s="24" t="s">
        <v>23</v>
      </c>
      <c r="E622" s="24" t="s">
        <v>23</v>
      </c>
      <c r="F622" s="24" t="s">
        <v>23</v>
      </c>
      <c r="G622" s="24" t="s">
        <v>23</v>
      </c>
      <c r="H622" s="24">
        <v>16.100000000000001</v>
      </c>
      <c r="I622" s="24">
        <v>45.8</v>
      </c>
      <c r="J622" s="25">
        <v>0</v>
      </c>
      <c r="K622" s="25">
        <v>0</v>
      </c>
      <c r="L622" s="25">
        <v>0</v>
      </c>
      <c r="M622" s="18">
        <f t="shared" si="47"/>
        <v>330</v>
      </c>
      <c r="N622" s="19">
        <f t="shared" si="48"/>
        <v>45729</v>
      </c>
      <c r="O622" s="18" t="b">
        <f t="shared" si="46"/>
        <v>0</v>
      </c>
      <c r="P622" s="43" t="str">
        <f>IF(O622,swap_curve!$B$19,"")</f>
        <v/>
      </c>
      <c r="Q622" t="str">
        <f t="shared" si="49"/>
        <v/>
      </c>
      <c r="R622" t="str" cm="1">
        <f t="array" ref="R622">IF(O622,BSCall(swap_curve!$B$20,imvol!M622,imvol!P622,imvol!Q622,YEARFRAC(swap_curve!$C$1,imvol!N622)),"")</f>
        <v/>
      </c>
      <c r="S622" s="20" t="str">
        <f t="shared" si="45"/>
        <v/>
      </c>
    </row>
    <row r="623" spans="1:19" x14ac:dyDescent="0.3">
      <c r="A623" s="23" t="s">
        <v>1438</v>
      </c>
      <c r="B623" s="23" t="s">
        <v>1439</v>
      </c>
      <c r="C623" s="24" t="s">
        <v>23</v>
      </c>
      <c r="D623" s="24" t="s">
        <v>23</v>
      </c>
      <c r="E623" s="24" t="s">
        <v>23</v>
      </c>
      <c r="F623" s="24" t="s">
        <v>23</v>
      </c>
      <c r="G623" s="24" t="s">
        <v>23</v>
      </c>
      <c r="H623" s="24">
        <v>16.100000000000001</v>
      </c>
      <c r="I623" s="24">
        <v>42.15</v>
      </c>
      <c r="J623" s="25">
        <v>0</v>
      </c>
      <c r="K623" s="25">
        <v>0</v>
      </c>
      <c r="L623" s="25">
        <v>0</v>
      </c>
      <c r="M623" s="18">
        <f t="shared" si="47"/>
        <v>335</v>
      </c>
      <c r="N623" s="19">
        <f t="shared" si="48"/>
        <v>45729</v>
      </c>
      <c r="O623" s="18" t="b">
        <f t="shared" si="46"/>
        <v>0</v>
      </c>
      <c r="P623" s="43" t="str">
        <f>IF(O623,swap_curve!$B$19,"")</f>
        <v/>
      </c>
      <c r="Q623" t="str">
        <f t="shared" si="49"/>
        <v/>
      </c>
      <c r="R623" t="str" cm="1">
        <f t="array" ref="R623">IF(O623,BSCall(swap_curve!$B$20,imvol!M623,imvol!P623,imvol!Q623,YEARFRAC(swap_curve!$C$1,imvol!N623)),"")</f>
        <v/>
      </c>
      <c r="S623" s="20" t="str">
        <f t="shared" si="45"/>
        <v/>
      </c>
    </row>
    <row r="624" spans="1:19" x14ac:dyDescent="0.3">
      <c r="A624" s="23" t="s">
        <v>1440</v>
      </c>
      <c r="B624" s="23" t="s">
        <v>1441</v>
      </c>
      <c r="C624" s="24" t="s">
        <v>23</v>
      </c>
      <c r="D624" s="24" t="s">
        <v>23</v>
      </c>
      <c r="E624" s="24" t="s">
        <v>23</v>
      </c>
      <c r="F624" s="24" t="s">
        <v>23</v>
      </c>
      <c r="G624" s="24" t="s">
        <v>23</v>
      </c>
      <c r="H624" s="24">
        <v>16.100000000000001</v>
      </c>
      <c r="I624" s="24">
        <v>38.75</v>
      </c>
      <c r="J624" s="25">
        <v>0</v>
      </c>
      <c r="K624" s="25">
        <v>0</v>
      </c>
      <c r="L624" s="25">
        <v>0</v>
      </c>
      <c r="M624" s="18">
        <f t="shared" si="47"/>
        <v>340</v>
      </c>
      <c r="N624" s="19">
        <f t="shared" si="48"/>
        <v>45729</v>
      </c>
      <c r="O624" s="18" t="b">
        <f t="shared" si="46"/>
        <v>0</v>
      </c>
      <c r="P624" s="43" t="str">
        <f>IF(O624,swap_curve!$B$19,"")</f>
        <v/>
      </c>
      <c r="Q624" t="str">
        <f t="shared" si="49"/>
        <v/>
      </c>
      <c r="R624" t="str" cm="1">
        <f t="array" ref="R624">IF(O624,BSCall(swap_curve!$B$20,imvol!M624,imvol!P624,imvol!Q624,YEARFRAC(swap_curve!$C$1,imvol!N624)),"")</f>
        <v/>
      </c>
      <c r="S624" s="20" t="str">
        <f t="shared" si="45"/>
        <v/>
      </c>
    </row>
    <row r="625" spans="1:19" x14ac:dyDescent="0.3">
      <c r="A625" s="23" t="s">
        <v>1442</v>
      </c>
      <c r="B625" s="23" t="s">
        <v>1443</v>
      </c>
      <c r="C625" s="24" t="s">
        <v>23</v>
      </c>
      <c r="D625" s="24" t="s">
        <v>23</v>
      </c>
      <c r="E625" s="24" t="s">
        <v>23</v>
      </c>
      <c r="F625" s="24" t="s">
        <v>23</v>
      </c>
      <c r="G625" s="24" t="s">
        <v>23</v>
      </c>
      <c r="H625" s="24">
        <v>16.100000000000001</v>
      </c>
      <c r="I625" s="24">
        <v>35.549999999999997</v>
      </c>
      <c r="J625" s="25">
        <v>0</v>
      </c>
      <c r="K625" s="25">
        <v>0</v>
      </c>
      <c r="L625" s="25">
        <v>0</v>
      </c>
      <c r="M625" s="18">
        <f t="shared" si="47"/>
        <v>345</v>
      </c>
      <c r="N625" s="19">
        <f t="shared" si="48"/>
        <v>45729</v>
      </c>
      <c r="O625" s="18" t="b">
        <f t="shared" si="46"/>
        <v>0</v>
      </c>
      <c r="P625" s="43" t="str">
        <f>IF(O625,swap_curve!$B$19,"")</f>
        <v/>
      </c>
      <c r="Q625" t="str">
        <f t="shared" si="49"/>
        <v/>
      </c>
      <c r="R625" t="str" cm="1">
        <f t="array" ref="R625">IF(O625,BSCall(swap_curve!$B$20,imvol!M625,imvol!P625,imvol!Q625,YEARFRAC(swap_curve!$C$1,imvol!N625)),"")</f>
        <v/>
      </c>
      <c r="S625" s="20" t="str">
        <f t="shared" si="45"/>
        <v/>
      </c>
    </row>
    <row r="626" spans="1:19" x14ac:dyDescent="0.3">
      <c r="A626" s="23" t="s">
        <v>1444</v>
      </c>
      <c r="B626" s="23" t="s">
        <v>1445</v>
      </c>
      <c r="C626" s="24" t="s">
        <v>23</v>
      </c>
      <c r="D626" s="24" t="s">
        <v>23</v>
      </c>
      <c r="E626" s="24" t="s">
        <v>23</v>
      </c>
      <c r="F626" s="24" t="s">
        <v>23</v>
      </c>
      <c r="G626" s="24" t="s">
        <v>23</v>
      </c>
      <c r="H626" s="24">
        <v>16.100000000000001</v>
      </c>
      <c r="I626" s="24">
        <v>32.35</v>
      </c>
      <c r="J626" s="25">
        <v>0</v>
      </c>
      <c r="K626" s="25">
        <v>0</v>
      </c>
      <c r="L626" s="25">
        <v>0</v>
      </c>
      <c r="M626" s="18">
        <f t="shared" si="47"/>
        <v>350</v>
      </c>
      <c r="N626" s="19">
        <f t="shared" si="48"/>
        <v>45729</v>
      </c>
      <c r="O626" s="18" t="b">
        <f t="shared" si="46"/>
        <v>0</v>
      </c>
      <c r="P626" s="43" t="str">
        <f>IF(O626,swap_curve!$B$19,"")</f>
        <v/>
      </c>
      <c r="Q626" t="str">
        <f t="shared" si="49"/>
        <v/>
      </c>
      <c r="R626" t="str" cm="1">
        <f t="array" ref="R626">IF(O626,BSCall(swap_curve!$B$20,imvol!M626,imvol!P626,imvol!Q626,YEARFRAC(swap_curve!$C$1,imvol!N626)),"")</f>
        <v/>
      </c>
      <c r="S626" s="20" t="str">
        <f t="shared" si="45"/>
        <v/>
      </c>
    </row>
    <row r="627" spans="1:19" x14ac:dyDescent="0.3">
      <c r="A627" s="23" t="s">
        <v>1446</v>
      </c>
      <c r="B627" s="23" t="s">
        <v>1447</v>
      </c>
      <c r="C627" s="24" t="s">
        <v>23</v>
      </c>
      <c r="D627" s="24" t="s">
        <v>23</v>
      </c>
      <c r="E627" s="24" t="s">
        <v>23</v>
      </c>
      <c r="F627" s="24" t="s">
        <v>23</v>
      </c>
      <c r="G627" s="24" t="s">
        <v>23</v>
      </c>
      <c r="H627" s="24">
        <v>16.100000000000001</v>
      </c>
      <c r="I627" s="24">
        <v>29.5</v>
      </c>
      <c r="J627" s="25">
        <v>0</v>
      </c>
      <c r="K627" s="25">
        <v>0</v>
      </c>
      <c r="L627" s="25">
        <v>0</v>
      </c>
      <c r="M627" s="18">
        <f t="shared" si="47"/>
        <v>355</v>
      </c>
      <c r="N627" s="19">
        <f t="shared" si="48"/>
        <v>45729</v>
      </c>
      <c r="O627" s="18" t="b">
        <f t="shared" si="46"/>
        <v>0</v>
      </c>
      <c r="P627" s="43" t="str">
        <f>IF(O627,swap_curve!$B$19,"")</f>
        <v/>
      </c>
      <c r="Q627" t="str">
        <f t="shared" si="49"/>
        <v/>
      </c>
      <c r="R627" t="str" cm="1">
        <f t="array" ref="R627">IF(O627,BSCall(swap_curve!$B$20,imvol!M627,imvol!P627,imvol!Q627,YEARFRAC(swap_curve!$C$1,imvol!N627)),"")</f>
        <v/>
      </c>
      <c r="S627" s="20" t="str">
        <f t="shared" si="45"/>
        <v/>
      </c>
    </row>
    <row r="628" spans="1:19" x14ac:dyDescent="0.3">
      <c r="A628" s="23" t="s">
        <v>1448</v>
      </c>
      <c r="B628" s="23" t="s">
        <v>1449</v>
      </c>
      <c r="C628" s="24" t="s">
        <v>23</v>
      </c>
      <c r="D628" s="24" t="s">
        <v>23</v>
      </c>
      <c r="E628" s="24" t="s">
        <v>23</v>
      </c>
      <c r="F628" s="24" t="s">
        <v>23</v>
      </c>
      <c r="G628" s="24" t="s">
        <v>23</v>
      </c>
      <c r="H628" s="24">
        <v>16.100000000000001</v>
      </c>
      <c r="I628" s="24">
        <v>26.8</v>
      </c>
      <c r="J628" s="25">
        <v>0</v>
      </c>
      <c r="K628" s="25">
        <v>0</v>
      </c>
      <c r="L628" s="25">
        <v>0</v>
      </c>
      <c r="M628" s="18">
        <f t="shared" si="47"/>
        <v>360</v>
      </c>
      <c r="N628" s="19">
        <f t="shared" si="48"/>
        <v>45729</v>
      </c>
      <c r="O628" s="18" t="b">
        <f t="shared" si="46"/>
        <v>0</v>
      </c>
      <c r="P628" s="43" t="str">
        <f>IF(O628,swap_curve!$B$19,"")</f>
        <v/>
      </c>
      <c r="Q628" t="str">
        <f t="shared" si="49"/>
        <v/>
      </c>
      <c r="R628" t="str" cm="1">
        <f t="array" ref="R628">IF(O628,BSCall(swap_curve!$B$20,imvol!M628,imvol!P628,imvol!Q628,YEARFRAC(swap_curve!$C$1,imvol!N628)),"")</f>
        <v/>
      </c>
      <c r="S628" s="20" t="str">
        <f t="shared" si="45"/>
        <v/>
      </c>
    </row>
    <row r="629" spans="1:19" x14ac:dyDescent="0.3">
      <c r="A629" s="23" t="s">
        <v>1450</v>
      </c>
      <c r="B629" s="23" t="s">
        <v>1451</v>
      </c>
      <c r="C629" s="24" t="s">
        <v>23</v>
      </c>
      <c r="D629" s="24" t="s">
        <v>23</v>
      </c>
      <c r="E629" s="24" t="s">
        <v>23</v>
      </c>
      <c r="F629" s="24" t="s">
        <v>23</v>
      </c>
      <c r="G629" s="24" t="s">
        <v>23</v>
      </c>
      <c r="H629" s="24">
        <v>16.100000000000001</v>
      </c>
      <c r="I629" s="24">
        <v>24.15</v>
      </c>
      <c r="J629" s="25">
        <v>0</v>
      </c>
      <c r="K629" s="25">
        <v>0</v>
      </c>
      <c r="L629" s="25">
        <v>3</v>
      </c>
      <c r="M629" s="18">
        <f t="shared" si="47"/>
        <v>365</v>
      </c>
      <c r="N629" s="19">
        <f t="shared" si="48"/>
        <v>45729</v>
      </c>
      <c r="O629" s="18" t="b">
        <f t="shared" si="46"/>
        <v>0</v>
      </c>
      <c r="P629" s="43" t="str">
        <f>IF(O629,swap_curve!$B$19,"")</f>
        <v/>
      </c>
      <c r="Q629" t="str">
        <f t="shared" si="49"/>
        <v/>
      </c>
      <c r="R629" t="str" cm="1">
        <f t="array" ref="R629">IF(O629,BSCall(swap_curve!$B$20,imvol!M629,imvol!P629,imvol!Q629,YEARFRAC(swap_curve!$C$1,imvol!N629)),"")</f>
        <v/>
      </c>
      <c r="S629" s="20" t="str">
        <f t="shared" si="45"/>
        <v/>
      </c>
    </row>
    <row r="630" spans="1:19" x14ac:dyDescent="0.3">
      <c r="A630" s="23" t="s">
        <v>1452</v>
      </c>
      <c r="B630" s="23" t="s">
        <v>1453</v>
      </c>
      <c r="C630" s="24" t="s">
        <v>23</v>
      </c>
      <c r="D630" s="24" t="s">
        <v>23</v>
      </c>
      <c r="E630" s="24" t="s">
        <v>23</v>
      </c>
      <c r="F630" s="24" t="s">
        <v>23</v>
      </c>
      <c r="G630" s="24" t="s">
        <v>23</v>
      </c>
      <c r="H630" s="24">
        <v>16.100000000000001</v>
      </c>
      <c r="I630" s="24">
        <v>21.8</v>
      </c>
      <c r="J630" s="25">
        <v>0</v>
      </c>
      <c r="K630" s="25">
        <v>0</v>
      </c>
      <c r="L630" s="25">
        <v>2</v>
      </c>
      <c r="M630" s="18">
        <f t="shared" si="47"/>
        <v>370</v>
      </c>
      <c r="N630" s="19">
        <f t="shared" si="48"/>
        <v>45729</v>
      </c>
      <c r="O630" s="18" t="b">
        <f t="shared" si="46"/>
        <v>0</v>
      </c>
      <c r="P630" s="43" t="str">
        <f>IF(O630,swap_curve!$B$19,"")</f>
        <v/>
      </c>
      <c r="Q630" t="str">
        <f t="shared" si="49"/>
        <v/>
      </c>
      <c r="R630" t="str" cm="1">
        <f t="array" ref="R630">IF(O630,BSCall(swap_curve!$B$20,imvol!M630,imvol!P630,imvol!Q630,YEARFRAC(swap_curve!$C$1,imvol!N630)),"")</f>
        <v/>
      </c>
      <c r="S630" s="20" t="str">
        <f t="shared" si="45"/>
        <v/>
      </c>
    </row>
    <row r="631" spans="1:19" x14ac:dyDescent="0.3">
      <c r="A631" s="23" t="s">
        <v>1454</v>
      </c>
      <c r="B631" s="23" t="s">
        <v>1455</v>
      </c>
      <c r="C631" s="24" t="s">
        <v>23</v>
      </c>
      <c r="D631" s="24" t="s">
        <v>23</v>
      </c>
      <c r="E631" s="24" t="s">
        <v>23</v>
      </c>
      <c r="F631" s="24" t="s">
        <v>23</v>
      </c>
      <c r="G631" s="24" t="s">
        <v>23</v>
      </c>
      <c r="H631" s="24">
        <v>16.100000000000001</v>
      </c>
      <c r="I631" s="24">
        <v>19.649999999999999</v>
      </c>
      <c r="J631" s="25">
        <v>0</v>
      </c>
      <c r="K631" s="25">
        <v>0</v>
      </c>
      <c r="L631" s="25">
        <v>0</v>
      </c>
      <c r="M631" s="18">
        <f t="shared" si="47"/>
        <v>375</v>
      </c>
      <c r="N631" s="19">
        <f t="shared" si="48"/>
        <v>45729</v>
      </c>
      <c r="O631" s="18" t="b">
        <f t="shared" si="46"/>
        <v>0</v>
      </c>
      <c r="P631" s="43" t="str">
        <f>IF(O631,swap_curve!$B$19,"")</f>
        <v/>
      </c>
      <c r="Q631" t="str">
        <f t="shared" si="49"/>
        <v/>
      </c>
      <c r="R631" t="str" cm="1">
        <f t="array" ref="R631">IF(O631,BSCall(swap_curve!$B$20,imvol!M631,imvol!P631,imvol!Q631,YEARFRAC(swap_curve!$C$1,imvol!N631)),"")</f>
        <v/>
      </c>
      <c r="S631" s="20" t="str">
        <f t="shared" si="45"/>
        <v/>
      </c>
    </row>
    <row r="632" spans="1:19" x14ac:dyDescent="0.3">
      <c r="A632" s="23" t="s">
        <v>1456</v>
      </c>
      <c r="B632" s="23" t="s">
        <v>1457</v>
      </c>
      <c r="C632" s="24" t="s">
        <v>23</v>
      </c>
      <c r="D632" s="24" t="s">
        <v>23</v>
      </c>
      <c r="E632" s="24" t="s">
        <v>23</v>
      </c>
      <c r="F632" s="24" t="s">
        <v>23</v>
      </c>
      <c r="G632" s="24" t="s">
        <v>23</v>
      </c>
      <c r="H632" s="24">
        <v>16.100000000000001</v>
      </c>
      <c r="I632" s="24">
        <v>17.55</v>
      </c>
      <c r="J632" s="25">
        <v>0</v>
      </c>
      <c r="K632" s="25">
        <v>0</v>
      </c>
      <c r="L632" s="25">
        <v>0</v>
      </c>
      <c r="M632" s="18">
        <f t="shared" si="47"/>
        <v>380</v>
      </c>
      <c r="N632" s="19">
        <f t="shared" si="48"/>
        <v>45729</v>
      </c>
      <c r="O632" s="18" t="b">
        <f t="shared" si="46"/>
        <v>0</v>
      </c>
      <c r="P632" s="43" t="str">
        <f>IF(O632,swap_curve!$B$19,"")</f>
        <v/>
      </c>
      <c r="Q632" t="str">
        <f t="shared" si="49"/>
        <v/>
      </c>
      <c r="R632" t="str" cm="1">
        <f t="array" ref="R632">IF(O632,BSCall(swap_curve!$B$20,imvol!M632,imvol!P632,imvol!Q632,YEARFRAC(swap_curve!$C$1,imvol!N632)),"")</f>
        <v/>
      </c>
      <c r="S632" s="20" t="str">
        <f t="shared" si="45"/>
        <v/>
      </c>
    </row>
    <row r="633" spans="1:19" x14ac:dyDescent="0.3">
      <c r="A633" s="23" t="s">
        <v>1458</v>
      </c>
      <c r="B633" s="23" t="s">
        <v>1459</v>
      </c>
      <c r="C633" s="24" t="s">
        <v>23</v>
      </c>
      <c r="D633" s="24" t="s">
        <v>23</v>
      </c>
      <c r="E633" s="24" t="s">
        <v>23</v>
      </c>
      <c r="F633" s="24" t="s">
        <v>23</v>
      </c>
      <c r="G633" s="24" t="s">
        <v>23</v>
      </c>
      <c r="H633" s="24">
        <v>16.100000000000001</v>
      </c>
      <c r="I633" s="24">
        <v>15.6</v>
      </c>
      <c r="J633" s="25">
        <v>0</v>
      </c>
      <c r="K633" s="25">
        <v>0</v>
      </c>
      <c r="L633" s="25">
        <v>0</v>
      </c>
      <c r="M633" s="18">
        <f t="shared" si="47"/>
        <v>385</v>
      </c>
      <c r="N633" s="19">
        <f t="shared" si="48"/>
        <v>45729</v>
      </c>
      <c r="O633" s="18" t="b">
        <f t="shared" si="46"/>
        <v>0</v>
      </c>
      <c r="P633" s="43" t="str">
        <f>IF(O633,swap_curve!$B$19,"")</f>
        <v/>
      </c>
      <c r="Q633" t="str">
        <f t="shared" si="49"/>
        <v/>
      </c>
      <c r="R633" t="str" cm="1">
        <f t="array" ref="R633">IF(O633,BSCall(swap_curve!$B$20,imvol!M633,imvol!P633,imvol!Q633,YEARFRAC(swap_curve!$C$1,imvol!N633)),"")</f>
        <v/>
      </c>
      <c r="S633" s="20" t="str">
        <f t="shared" si="45"/>
        <v/>
      </c>
    </row>
    <row r="634" spans="1:19" x14ac:dyDescent="0.3">
      <c r="A634" s="23" t="s">
        <v>1460</v>
      </c>
      <c r="B634" s="23" t="s">
        <v>1461</v>
      </c>
      <c r="C634" s="24" t="s">
        <v>23</v>
      </c>
      <c r="D634" s="24" t="s">
        <v>23</v>
      </c>
      <c r="E634" s="24" t="s">
        <v>23</v>
      </c>
      <c r="F634" s="24" t="s">
        <v>23</v>
      </c>
      <c r="G634" s="24" t="s">
        <v>23</v>
      </c>
      <c r="H634" s="24">
        <v>16.100000000000001</v>
      </c>
      <c r="I634" s="24">
        <v>14</v>
      </c>
      <c r="J634" s="25">
        <v>0</v>
      </c>
      <c r="K634" s="25">
        <v>0</v>
      </c>
      <c r="L634" s="25">
        <v>0</v>
      </c>
      <c r="M634" s="18">
        <f t="shared" si="47"/>
        <v>390</v>
      </c>
      <c r="N634" s="19">
        <f t="shared" si="48"/>
        <v>45729</v>
      </c>
      <c r="O634" s="18" t="b">
        <f t="shared" si="46"/>
        <v>0</v>
      </c>
      <c r="P634" s="43" t="str">
        <f>IF(O634,swap_curve!$B$19,"")</f>
        <v/>
      </c>
      <c r="Q634" t="str">
        <f t="shared" si="49"/>
        <v/>
      </c>
      <c r="R634" t="str" cm="1">
        <f t="array" ref="R634">IF(O634,BSCall(swap_curve!$B$20,imvol!M634,imvol!P634,imvol!Q634,YEARFRAC(swap_curve!$C$1,imvol!N634)),"")</f>
        <v/>
      </c>
      <c r="S634" s="20" t="str">
        <f t="shared" si="45"/>
        <v/>
      </c>
    </row>
    <row r="635" spans="1:19" x14ac:dyDescent="0.3">
      <c r="A635" s="23" t="s">
        <v>1462</v>
      </c>
      <c r="B635" s="23" t="s">
        <v>1463</v>
      </c>
      <c r="C635" s="24" t="s">
        <v>23</v>
      </c>
      <c r="D635" s="24" t="s">
        <v>23</v>
      </c>
      <c r="E635" s="24" t="s">
        <v>23</v>
      </c>
      <c r="F635" s="24" t="s">
        <v>23</v>
      </c>
      <c r="G635" s="24" t="s">
        <v>23</v>
      </c>
      <c r="H635" s="24">
        <v>16.100000000000001</v>
      </c>
      <c r="I635" s="24">
        <v>12.4</v>
      </c>
      <c r="J635" s="25">
        <v>0</v>
      </c>
      <c r="K635" s="25">
        <v>0</v>
      </c>
      <c r="L635" s="25">
        <v>0</v>
      </c>
      <c r="M635" s="18">
        <f t="shared" si="47"/>
        <v>395</v>
      </c>
      <c r="N635" s="19">
        <f t="shared" si="48"/>
        <v>45729</v>
      </c>
      <c r="O635" s="18" t="b">
        <f t="shared" si="46"/>
        <v>0</v>
      </c>
      <c r="P635" s="43" t="str">
        <f>IF(O635,swap_curve!$B$19,"")</f>
        <v/>
      </c>
      <c r="Q635" t="str">
        <f t="shared" si="49"/>
        <v/>
      </c>
      <c r="R635" t="str" cm="1">
        <f t="array" ref="R635">IF(O635,BSCall(swap_curve!$B$20,imvol!M635,imvol!P635,imvol!Q635,YEARFRAC(swap_curve!$C$1,imvol!N635)),"")</f>
        <v/>
      </c>
      <c r="S635" s="20" t="str">
        <f t="shared" si="45"/>
        <v/>
      </c>
    </row>
    <row r="636" spans="1:19" x14ac:dyDescent="0.3">
      <c r="A636" s="23" t="s">
        <v>1464</v>
      </c>
      <c r="B636" s="23" t="s">
        <v>1465</v>
      </c>
      <c r="C636" s="24" t="s">
        <v>23</v>
      </c>
      <c r="D636" s="24" t="s">
        <v>23</v>
      </c>
      <c r="E636" s="24" t="s">
        <v>23</v>
      </c>
      <c r="F636" s="24" t="s">
        <v>23</v>
      </c>
      <c r="G636" s="24" t="s">
        <v>23</v>
      </c>
      <c r="H636" s="24">
        <v>16.100000000000001</v>
      </c>
      <c r="I636" s="24">
        <v>10.8</v>
      </c>
      <c r="J636" s="25">
        <v>0</v>
      </c>
      <c r="K636" s="25">
        <v>0</v>
      </c>
      <c r="L636" s="25">
        <v>0</v>
      </c>
      <c r="M636" s="18">
        <f t="shared" si="47"/>
        <v>400</v>
      </c>
      <c r="N636" s="19">
        <f t="shared" si="48"/>
        <v>45729</v>
      </c>
      <c r="O636" s="18" t="b">
        <f t="shared" si="46"/>
        <v>0</v>
      </c>
      <c r="P636" s="43" t="str">
        <f>IF(O636,swap_curve!$B$19,"")</f>
        <v/>
      </c>
      <c r="Q636" t="str">
        <f t="shared" si="49"/>
        <v/>
      </c>
      <c r="R636" t="str" cm="1">
        <f t="array" ref="R636">IF(O636,BSCall(swap_curve!$B$20,imvol!M636,imvol!P636,imvol!Q636,YEARFRAC(swap_curve!$C$1,imvol!N636)),"")</f>
        <v/>
      </c>
      <c r="S636" s="20" t="str">
        <f t="shared" si="45"/>
        <v/>
      </c>
    </row>
    <row r="637" spans="1:19" x14ac:dyDescent="0.3">
      <c r="A637" s="23" t="s">
        <v>1466</v>
      </c>
      <c r="B637" s="23" t="s">
        <v>1467</v>
      </c>
      <c r="C637" s="24" t="s">
        <v>23</v>
      </c>
      <c r="D637" s="24" t="s">
        <v>23</v>
      </c>
      <c r="E637" s="24" t="s">
        <v>23</v>
      </c>
      <c r="F637" s="24" t="s">
        <v>23</v>
      </c>
      <c r="G637" s="24" t="s">
        <v>23</v>
      </c>
      <c r="H637" s="24">
        <v>16.100000000000001</v>
      </c>
      <c r="I637" s="24">
        <v>9.66</v>
      </c>
      <c r="J637" s="25">
        <v>0</v>
      </c>
      <c r="K637" s="25">
        <v>0</v>
      </c>
      <c r="L637" s="25">
        <v>0</v>
      </c>
      <c r="M637" s="18">
        <f t="shared" si="47"/>
        <v>405</v>
      </c>
      <c r="N637" s="19">
        <f t="shared" si="48"/>
        <v>45729</v>
      </c>
      <c r="O637" s="18" t="b">
        <f t="shared" si="46"/>
        <v>0</v>
      </c>
      <c r="P637" s="43" t="str">
        <f>IF(O637,swap_curve!$B$19,"")</f>
        <v/>
      </c>
      <c r="Q637" t="str">
        <f t="shared" si="49"/>
        <v/>
      </c>
      <c r="R637" t="str" cm="1">
        <f t="array" ref="R637">IF(O637,BSCall(swap_curve!$B$20,imvol!M637,imvol!P637,imvol!Q637,YEARFRAC(swap_curve!$C$1,imvol!N637)),"")</f>
        <v/>
      </c>
      <c r="S637" s="20" t="str">
        <f t="shared" si="45"/>
        <v/>
      </c>
    </row>
    <row r="638" spans="1:19" x14ac:dyDescent="0.3">
      <c r="A638" s="23" t="s">
        <v>1468</v>
      </c>
      <c r="B638" s="23" t="s">
        <v>1469</v>
      </c>
      <c r="C638" s="24" t="s">
        <v>23</v>
      </c>
      <c r="D638" s="24" t="s">
        <v>23</v>
      </c>
      <c r="E638" s="24" t="s">
        <v>23</v>
      </c>
      <c r="F638" s="24" t="s">
        <v>23</v>
      </c>
      <c r="G638" s="24" t="s">
        <v>23</v>
      </c>
      <c r="H638" s="24">
        <v>16.100000000000001</v>
      </c>
      <c r="I638" s="24">
        <v>8.5299999999999994</v>
      </c>
      <c r="J638" s="25">
        <v>0</v>
      </c>
      <c r="K638" s="25">
        <v>0</v>
      </c>
      <c r="L638" s="25">
        <v>0</v>
      </c>
      <c r="M638" s="18">
        <f t="shared" si="47"/>
        <v>410</v>
      </c>
      <c r="N638" s="19">
        <f t="shared" si="48"/>
        <v>45729</v>
      </c>
      <c r="O638" s="18" t="b">
        <f t="shared" si="46"/>
        <v>0</v>
      </c>
      <c r="P638" s="43" t="str">
        <f>IF(O638,swap_curve!$B$19,"")</f>
        <v/>
      </c>
      <c r="Q638" t="str">
        <f t="shared" si="49"/>
        <v/>
      </c>
      <c r="R638" t="str" cm="1">
        <f t="array" ref="R638">IF(O638,BSCall(swap_curve!$B$20,imvol!M638,imvol!P638,imvol!Q638,YEARFRAC(swap_curve!$C$1,imvol!N638)),"")</f>
        <v/>
      </c>
      <c r="S638" s="20" t="str">
        <f t="shared" si="45"/>
        <v/>
      </c>
    </row>
    <row r="639" spans="1:19" x14ac:dyDescent="0.3">
      <c r="A639" s="23" t="s">
        <v>1470</v>
      </c>
      <c r="B639" s="23" t="s">
        <v>1471</v>
      </c>
      <c r="C639" s="24" t="s">
        <v>23</v>
      </c>
      <c r="D639" s="24" t="s">
        <v>23</v>
      </c>
      <c r="E639" s="24" t="s">
        <v>23</v>
      </c>
      <c r="F639" s="24" t="s">
        <v>23</v>
      </c>
      <c r="G639" s="24" t="s">
        <v>23</v>
      </c>
      <c r="H639" s="24">
        <v>16.100000000000001</v>
      </c>
      <c r="I639" s="24">
        <v>7.39</v>
      </c>
      <c r="J639" s="25">
        <v>0</v>
      </c>
      <c r="K639" s="25">
        <v>0</v>
      </c>
      <c r="L639" s="25">
        <v>0</v>
      </c>
      <c r="M639" s="18">
        <f t="shared" si="47"/>
        <v>415</v>
      </c>
      <c r="N639" s="19">
        <f t="shared" si="48"/>
        <v>45729</v>
      </c>
      <c r="O639" s="18" t="b">
        <f t="shared" si="46"/>
        <v>0</v>
      </c>
      <c r="P639" s="43" t="str">
        <f>IF(O639,swap_curve!$B$19,"")</f>
        <v/>
      </c>
      <c r="Q639" t="str">
        <f t="shared" si="49"/>
        <v/>
      </c>
      <c r="R639" t="str" cm="1">
        <f t="array" ref="R639">IF(O639,BSCall(swap_curve!$B$20,imvol!M639,imvol!P639,imvol!Q639,YEARFRAC(swap_curve!$C$1,imvol!N639)),"")</f>
        <v/>
      </c>
      <c r="S639" s="20" t="str">
        <f t="shared" ref="S639:S702" si="50">IF(O639,R639-C639,"")</f>
        <v/>
      </c>
    </row>
    <row r="640" spans="1:19" x14ac:dyDescent="0.3">
      <c r="A640" s="23" t="s">
        <v>1472</v>
      </c>
      <c r="B640" s="23" t="s">
        <v>1473</v>
      </c>
      <c r="C640" s="24" t="s">
        <v>23</v>
      </c>
      <c r="D640" s="24" t="s">
        <v>23</v>
      </c>
      <c r="E640" s="24" t="s">
        <v>23</v>
      </c>
      <c r="F640" s="24" t="s">
        <v>23</v>
      </c>
      <c r="G640" s="24" t="s">
        <v>23</v>
      </c>
      <c r="H640" s="24">
        <v>16.100000000000001</v>
      </c>
      <c r="I640" s="24">
        <v>6.45</v>
      </c>
      <c r="J640" s="25">
        <v>0</v>
      </c>
      <c r="K640" s="25">
        <v>0</v>
      </c>
      <c r="L640" s="25">
        <v>1</v>
      </c>
      <c r="M640" s="18">
        <f t="shared" si="47"/>
        <v>420</v>
      </c>
      <c r="N640" s="19">
        <f t="shared" si="48"/>
        <v>45729</v>
      </c>
      <c r="O640" s="18" t="b">
        <f t="shared" si="46"/>
        <v>0</v>
      </c>
      <c r="P640" s="43" t="str">
        <f>IF(O640,swap_curve!$B$19,"")</f>
        <v/>
      </c>
      <c r="Q640" t="str">
        <f t="shared" si="49"/>
        <v/>
      </c>
      <c r="R640" t="str" cm="1">
        <f t="array" ref="R640">IF(O640,BSCall(swap_curve!$B$20,imvol!M640,imvol!P640,imvol!Q640,YEARFRAC(swap_curve!$C$1,imvol!N640)),"")</f>
        <v/>
      </c>
      <c r="S640" s="20" t="str">
        <f t="shared" si="50"/>
        <v/>
      </c>
    </row>
    <row r="641" spans="1:19" x14ac:dyDescent="0.3">
      <c r="A641" s="23" t="s">
        <v>1474</v>
      </c>
      <c r="B641" s="23" t="s">
        <v>1475</v>
      </c>
      <c r="C641" s="24" t="s">
        <v>23</v>
      </c>
      <c r="D641" s="24" t="s">
        <v>23</v>
      </c>
      <c r="E641" s="24" t="s">
        <v>23</v>
      </c>
      <c r="F641" s="24" t="s">
        <v>23</v>
      </c>
      <c r="G641" s="24" t="s">
        <v>23</v>
      </c>
      <c r="H641" s="24">
        <v>16.100000000000001</v>
      </c>
      <c r="I641" s="24">
        <v>5.69</v>
      </c>
      <c r="J641" s="25">
        <v>0</v>
      </c>
      <c r="K641" s="25">
        <v>0</v>
      </c>
      <c r="L641" s="25">
        <v>0</v>
      </c>
      <c r="M641" s="18">
        <f t="shared" si="47"/>
        <v>425</v>
      </c>
      <c r="N641" s="19">
        <f t="shared" si="48"/>
        <v>45729</v>
      </c>
      <c r="O641" s="18" t="b">
        <f t="shared" si="46"/>
        <v>0</v>
      </c>
      <c r="P641" s="43" t="str">
        <f>IF(O641,swap_curve!$B$19,"")</f>
        <v/>
      </c>
      <c r="Q641" t="str">
        <f t="shared" si="49"/>
        <v/>
      </c>
      <c r="R641" t="str" cm="1">
        <f t="array" ref="R641">IF(O641,BSCall(swap_curve!$B$20,imvol!M641,imvol!P641,imvol!Q641,YEARFRAC(swap_curve!$C$1,imvol!N641)),"")</f>
        <v/>
      </c>
      <c r="S641" s="20" t="str">
        <f t="shared" si="50"/>
        <v/>
      </c>
    </row>
    <row r="642" spans="1:19" x14ac:dyDescent="0.3">
      <c r="A642" s="23" t="s">
        <v>1476</v>
      </c>
      <c r="B642" s="23" t="s">
        <v>1477</v>
      </c>
      <c r="C642" s="24" t="s">
        <v>23</v>
      </c>
      <c r="D642" s="24" t="s">
        <v>23</v>
      </c>
      <c r="E642" s="24" t="s">
        <v>23</v>
      </c>
      <c r="F642" s="24" t="s">
        <v>23</v>
      </c>
      <c r="G642" s="24" t="s">
        <v>23</v>
      </c>
      <c r="H642" s="24">
        <v>16.100000000000001</v>
      </c>
      <c r="I642" s="24">
        <v>4.93</v>
      </c>
      <c r="J642" s="25">
        <v>0</v>
      </c>
      <c r="K642" s="25">
        <v>0</v>
      </c>
      <c r="L642" s="25">
        <v>1</v>
      </c>
      <c r="M642" s="18">
        <f t="shared" si="47"/>
        <v>430</v>
      </c>
      <c r="N642" s="19">
        <f t="shared" si="48"/>
        <v>45729</v>
      </c>
      <c r="O642" s="18" t="b">
        <f t="shared" ref="O642:O705" si="51">IF(J642&gt;100, TRUE,FALSE)</f>
        <v>0</v>
      </c>
      <c r="P642" s="43" t="str">
        <f>IF(O642,swap_curve!$B$19,"")</f>
        <v/>
      </c>
      <c r="Q642" t="str">
        <f t="shared" si="49"/>
        <v/>
      </c>
      <c r="R642" t="str" cm="1">
        <f t="array" ref="R642">IF(O642,BSCall(swap_curve!$B$20,imvol!M642,imvol!P642,imvol!Q642,YEARFRAC(swap_curve!$C$1,imvol!N642)),"")</f>
        <v/>
      </c>
      <c r="S642" s="20" t="str">
        <f t="shared" si="50"/>
        <v/>
      </c>
    </row>
    <row r="643" spans="1:19" x14ac:dyDescent="0.3">
      <c r="A643" s="23" t="s">
        <v>1478</v>
      </c>
      <c r="B643" s="23" t="s">
        <v>1479</v>
      </c>
      <c r="C643" s="24" t="s">
        <v>23</v>
      </c>
      <c r="D643" s="24" t="s">
        <v>23</v>
      </c>
      <c r="E643" s="24" t="s">
        <v>23</v>
      </c>
      <c r="F643" s="24" t="s">
        <v>23</v>
      </c>
      <c r="G643" s="24" t="s">
        <v>23</v>
      </c>
      <c r="H643" s="24">
        <v>16.100000000000001</v>
      </c>
      <c r="I643" s="24">
        <v>4.18</v>
      </c>
      <c r="J643" s="25">
        <v>0</v>
      </c>
      <c r="K643" s="25">
        <v>0</v>
      </c>
      <c r="L643" s="25">
        <v>16</v>
      </c>
      <c r="M643" s="18">
        <f t="shared" ref="M643:M706" si="52">VALUE(RIGHT(B643, 6))</f>
        <v>435</v>
      </c>
      <c r="N643" s="19">
        <f t="shared" ref="N643:N706" si="53">DATE(VALUE(LEFT(MID(B643,10,6),4)),VALUE(RIGHT(MID(B643,10,6),2)),1)+MOD(5-WEEKDAY(DATE(VALUE(LEFT(MID(B643,10,6),4)),VALUE(RIGHT(MID(B643,10,6),2)),1)),7)+7</f>
        <v>45729</v>
      </c>
      <c r="O643" s="18" t="b">
        <f t="shared" si="51"/>
        <v>0</v>
      </c>
      <c r="P643" s="43" t="str">
        <f>IF(O643,swap_curve!$B$19,"")</f>
        <v/>
      </c>
      <c r="Q643" t="str">
        <f t="shared" ref="Q643:Q706" si="54">IF(O643,H643%,"")</f>
        <v/>
      </c>
      <c r="R643" t="str" cm="1">
        <f t="array" ref="R643">IF(O643,BSCall(swap_curve!$B$20,imvol!M643,imvol!P643,imvol!Q643,YEARFRAC(swap_curve!$C$1,imvol!N643)),"")</f>
        <v/>
      </c>
      <c r="S643" s="20" t="str">
        <f t="shared" si="50"/>
        <v/>
      </c>
    </row>
    <row r="644" spans="1:19" x14ac:dyDescent="0.3">
      <c r="A644" s="23" t="s">
        <v>1480</v>
      </c>
      <c r="B644" s="23" t="s">
        <v>1481</v>
      </c>
      <c r="C644" s="24" t="s">
        <v>23</v>
      </c>
      <c r="D644" s="24" t="s">
        <v>23</v>
      </c>
      <c r="E644" s="24" t="s">
        <v>23</v>
      </c>
      <c r="F644" s="24" t="s">
        <v>23</v>
      </c>
      <c r="G644" s="24" t="s">
        <v>23</v>
      </c>
      <c r="H644" s="24">
        <v>16.100000000000001</v>
      </c>
      <c r="I644" s="24">
        <v>3.66</v>
      </c>
      <c r="J644" s="25">
        <v>0</v>
      </c>
      <c r="K644" s="25">
        <v>0</v>
      </c>
      <c r="L644" s="25">
        <v>0</v>
      </c>
      <c r="M644" s="18">
        <f t="shared" si="52"/>
        <v>440</v>
      </c>
      <c r="N644" s="19">
        <f t="shared" si="53"/>
        <v>45729</v>
      </c>
      <c r="O644" s="18" t="b">
        <f t="shared" si="51"/>
        <v>0</v>
      </c>
      <c r="P644" s="43" t="str">
        <f>IF(O644,swap_curve!$B$19,"")</f>
        <v/>
      </c>
      <c r="Q644" t="str">
        <f t="shared" si="54"/>
        <v/>
      </c>
      <c r="R644" t="str" cm="1">
        <f t="array" ref="R644">IF(O644,BSCall(swap_curve!$B$20,imvol!M644,imvol!P644,imvol!Q644,YEARFRAC(swap_curve!$C$1,imvol!N644)),"")</f>
        <v/>
      </c>
      <c r="S644" s="20" t="str">
        <f t="shared" si="50"/>
        <v/>
      </c>
    </row>
    <row r="645" spans="1:19" x14ac:dyDescent="0.3">
      <c r="A645" s="23" t="s">
        <v>1482</v>
      </c>
      <c r="B645" s="23" t="s">
        <v>1483</v>
      </c>
      <c r="C645" s="24" t="s">
        <v>23</v>
      </c>
      <c r="D645" s="24" t="s">
        <v>23</v>
      </c>
      <c r="E645" s="24" t="s">
        <v>23</v>
      </c>
      <c r="F645" s="24" t="s">
        <v>23</v>
      </c>
      <c r="G645" s="24" t="s">
        <v>23</v>
      </c>
      <c r="H645" s="24">
        <v>16.100000000000001</v>
      </c>
      <c r="I645" s="24">
        <v>3.19</v>
      </c>
      <c r="J645" s="25">
        <v>0</v>
      </c>
      <c r="K645" s="25">
        <v>0</v>
      </c>
      <c r="L645" s="25">
        <v>0</v>
      </c>
      <c r="M645" s="18">
        <f t="shared" si="52"/>
        <v>445</v>
      </c>
      <c r="N645" s="19">
        <f t="shared" si="53"/>
        <v>45729</v>
      </c>
      <c r="O645" s="18" t="b">
        <f t="shared" si="51"/>
        <v>0</v>
      </c>
      <c r="P645" s="43" t="str">
        <f>IF(O645,swap_curve!$B$19,"")</f>
        <v/>
      </c>
      <c r="Q645" t="str">
        <f t="shared" si="54"/>
        <v/>
      </c>
      <c r="R645" t="str" cm="1">
        <f t="array" ref="R645">IF(O645,BSCall(swap_curve!$B$20,imvol!M645,imvol!P645,imvol!Q645,YEARFRAC(swap_curve!$C$1,imvol!N645)),"")</f>
        <v/>
      </c>
      <c r="S645" s="20" t="str">
        <f t="shared" si="50"/>
        <v/>
      </c>
    </row>
    <row r="646" spans="1:19" x14ac:dyDescent="0.3">
      <c r="A646" s="23" t="s">
        <v>1484</v>
      </c>
      <c r="B646" s="23" t="s">
        <v>1485</v>
      </c>
      <c r="C646" s="24" t="s">
        <v>23</v>
      </c>
      <c r="D646" s="24" t="s">
        <v>23</v>
      </c>
      <c r="E646" s="24" t="s">
        <v>23</v>
      </c>
      <c r="F646" s="24" t="s">
        <v>23</v>
      </c>
      <c r="G646" s="24" t="s">
        <v>23</v>
      </c>
      <c r="H646" s="24">
        <v>16.100000000000001</v>
      </c>
      <c r="I646" s="24">
        <v>2.72</v>
      </c>
      <c r="J646" s="25">
        <v>0</v>
      </c>
      <c r="K646" s="25">
        <v>0</v>
      </c>
      <c r="L646" s="25">
        <v>0</v>
      </c>
      <c r="M646" s="18">
        <f t="shared" si="52"/>
        <v>450</v>
      </c>
      <c r="N646" s="19">
        <f t="shared" si="53"/>
        <v>45729</v>
      </c>
      <c r="O646" s="18" t="b">
        <f t="shared" si="51"/>
        <v>0</v>
      </c>
      <c r="P646" s="43" t="str">
        <f>IF(O646,swap_curve!$B$19,"")</f>
        <v/>
      </c>
      <c r="Q646" t="str">
        <f t="shared" si="54"/>
        <v/>
      </c>
      <c r="R646" t="str" cm="1">
        <f t="array" ref="R646">IF(O646,BSCall(swap_curve!$B$20,imvol!M646,imvol!P646,imvol!Q646,YEARFRAC(swap_curve!$C$1,imvol!N646)),"")</f>
        <v/>
      </c>
      <c r="S646" s="20" t="str">
        <f t="shared" si="50"/>
        <v/>
      </c>
    </row>
    <row r="647" spans="1:19" x14ac:dyDescent="0.3">
      <c r="A647" s="23" t="s">
        <v>1486</v>
      </c>
      <c r="B647" s="23" t="s">
        <v>1487</v>
      </c>
      <c r="C647" s="24" t="s">
        <v>23</v>
      </c>
      <c r="D647" s="24" t="s">
        <v>23</v>
      </c>
      <c r="E647" s="24" t="s">
        <v>23</v>
      </c>
      <c r="F647" s="24" t="s">
        <v>23</v>
      </c>
      <c r="G647" s="24" t="s">
        <v>23</v>
      </c>
      <c r="H647" s="24">
        <v>16.100000000000001</v>
      </c>
      <c r="I647" s="24">
        <v>2.2599999999999998</v>
      </c>
      <c r="J647" s="25">
        <v>0</v>
      </c>
      <c r="K647" s="25">
        <v>0</v>
      </c>
      <c r="L647" s="25">
        <v>0</v>
      </c>
      <c r="M647" s="18">
        <f t="shared" si="52"/>
        <v>455</v>
      </c>
      <c r="N647" s="19">
        <f t="shared" si="53"/>
        <v>45729</v>
      </c>
      <c r="O647" s="18" t="b">
        <f t="shared" si="51"/>
        <v>0</v>
      </c>
      <c r="P647" s="43" t="str">
        <f>IF(O647,swap_curve!$B$19,"")</f>
        <v/>
      </c>
      <c r="Q647" t="str">
        <f t="shared" si="54"/>
        <v/>
      </c>
      <c r="R647" t="str" cm="1">
        <f t="array" ref="R647">IF(O647,BSCall(swap_curve!$B$20,imvol!M647,imvol!P647,imvol!Q647,YEARFRAC(swap_curve!$C$1,imvol!N647)),"")</f>
        <v/>
      </c>
      <c r="S647" s="20" t="str">
        <f t="shared" si="50"/>
        <v/>
      </c>
    </row>
    <row r="648" spans="1:19" x14ac:dyDescent="0.3">
      <c r="A648" s="23" t="s">
        <v>1488</v>
      </c>
      <c r="B648" s="23" t="s">
        <v>1489</v>
      </c>
      <c r="C648" s="24" t="s">
        <v>23</v>
      </c>
      <c r="D648" s="24" t="s">
        <v>23</v>
      </c>
      <c r="E648" s="24" t="s">
        <v>23</v>
      </c>
      <c r="F648" s="24" t="s">
        <v>23</v>
      </c>
      <c r="G648" s="24" t="s">
        <v>23</v>
      </c>
      <c r="H648" s="24">
        <v>16.100000000000001</v>
      </c>
      <c r="I648" s="24">
        <v>1.99</v>
      </c>
      <c r="J648" s="25">
        <v>0</v>
      </c>
      <c r="K648" s="25">
        <v>0</v>
      </c>
      <c r="L648" s="25">
        <v>1</v>
      </c>
      <c r="M648" s="18">
        <f t="shared" si="52"/>
        <v>460</v>
      </c>
      <c r="N648" s="19">
        <f t="shared" si="53"/>
        <v>45729</v>
      </c>
      <c r="O648" s="18" t="b">
        <f t="shared" si="51"/>
        <v>0</v>
      </c>
      <c r="P648" s="43" t="str">
        <f>IF(O648,swap_curve!$B$19,"")</f>
        <v/>
      </c>
      <c r="Q648" t="str">
        <f t="shared" si="54"/>
        <v/>
      </c>
      <c r="R648" t="str" cm="1">
        <f t="array" ref="R648">IF(O648,BSCall(swap_curve!$B$20,imvol!M648,imvol!P648,imvol!Q648,YEARFRAC(swap_curve!$C$1,imvol!N648)),"")</f>
        <v/>
      </c>
      <c r="S648" s="20" t="str">
        <f t="shared" si="50"/>
        <v/>
      </c>
    </row>
    <row r="649" spans="1:19" x14ac:dyDescent="0.3">
      <c r="A649" s="23" t="s">
        <v>1490</v>
      </c>
      <c r="B649" s="23" t="s">
        <v>1491</v>
      </c>
      <c r="C649" s="24" t="s">
        <v>23</v>
      </c>
      <c r="D649" s="24" t="s">
        <v>23</v>
      </c>
      <c r="E649" s="24" t="s">
        <v>23</v>
      </c>
      <c r="F649" s="24" t="s">
        <v>23</v>
      </c>
      <c r="G649" s="24" t="s">
        <v>23</v>
      </c>
      <c r="H649" s="24">
        <v>16.100000000000001</v>
      </c>
      <c r="I649" s="24">
        <v>1.72</v>
      </c>
      <c r="J649" s="25">
        <v>0</v>
      </c>
      <c r="K649" s="25">
        <v>0</v>
      </c>
      <c r="L649" s="25">
        <v>1</v>
      </c>
      <c r="M649" s="18">
        <f t="shared" si="52"/>
        <v>465</v>
      </c>
      <c r="N649" s="19">
        <f t="shared" si="53"/>
        <v>45729</v>
      </c>
      <c r="O649" s="18" t="b">
        <f t="shared" si="51"/>
        <v>0</v>
      </c>
      <c r="P649" s="43" t="str">
        <f>IF(O649,swap_curve!$B$19,"")</f>
        <v/>
      </c>
      <c r="Q649" t="str">
        <f t="shared" si="54"/>
        <v/>
      </c>
      <c r="R649" t="str" cm="1">
        <f t="array" ref="R649">IF(O649,BSCall(swap_curve!$B$20,imvol!M649,imvol!P649,imvol!Q649,YEARFRAC(swap_curve!$C$1,imvol!N649)),"")</f>
        <v/>
      </c>
      <c r="S649" s="20" t="str">
        <f t="shared" si="50"/>
        <v/>
      </c>
    </row>
    <row r="650" spans="1:19" x14ac:dyDescent="0.3">
      <c r="A650" s="23" t="s">
        <v>1492</v>
      </c>
      <c r="B650" s="23" t="s">
        <v>1493</v>
      </c>
      <c r="C650" s="24">
        <v>1.2</v>
      </c>
      <c r="D650" s="24">
        <v>-0.09</v>
      </c>
      <c r="E650" s="24">
        <v>1.2</v>
      </c>
      <c r="F650" s="24">
        <v>1.2</v>
      </c>
      <c r="G650" s="24">
        <v>1.2</v>
      </c>
      <c r="H650" s="24">
        <v>16.100000000000001</v>
      </c>
      <c r="I650" s="24">
        <v>1.2</v>
      </c>
      <c r="J650" s="25">
        <v>1</v>
      </c>
      <c r="K650" s="25">
        <v>0</v>
      </c>
      <c r="L650" s="25">
        <v>150</v>
      </c>
      <c r="M650" s="18">
        <f t="shared" si="52"/>
        <v>470</v>
      </c>
      <c r="N650" s="19">
        <f t="shared" si="53"/>
        <v>45729</v>
      </c>
      <c r="O650" s="18" t="b">
        <f t="shared" si="51"/>
        <v>0</v>
      </c>
      <c r="P650" s="43" t="str">
        <f>IF(O650,swap_curve!$B$19,"")</f>
        <v/>
      </c>
      <c r="Q650" t="str">
        <f t="shared" si="54"/>
        <v/>
      </c>
      <c r="R650" t="str" cm="1">
        <f t="array" ref="R650">IF(O650,BSCall(swap_curve!$B$20,imvol!M650,imvol!P650,imvol!Q650,YEARFRAC(swap_curve!$C$1,imvol!N650)),"")</f>
        <v/>
      </c>
      <c r="S650" s="20" t="str">
        <f t="shared" si="50"/>
        <v/>
      </c>
    </row>
    <row r="651" spans="1:19" x14ac:dyDescent="0.3">
      <c r="A651" s="23" t="s">
        <v>1494</v>
      </c>
      <c r="B651" s="23" t="s">
        <v>1495</v>
      </c>
      <c r="C651" s="24" t="s">
        <v>23</v>
      </c>
      <c r="D651" s="24" t="s">
        <v>23</v>
      </c>
      <c r="E651" s="24" t="s">
        <v>23</v>
      </c>
      <c r="F651" s="24" t="s">
        <v>23</v>
      </c>
      <c r="G651" s="24" t="s">
        <v>23</v>
      </c>
      <c r="H651" s="24">
        <v>16.100000000000001</v>
      </c>
      <c r="I651" s="24">
        <v>1.18</v>
      </c>
      <c r="J651" s="25">
        <v>0</v>
      </c>
      <c r="K651" s="25">
        <v>0</v>
      </c>
      <c r="L651" s="25">
        <v>0</v>
      </c>
      <c r="M651" s="18">
        <f t="shared" si="52"/>
        <v>475</v>
      </c>
      <c r="N651" s="19">
        <f t="shared" si="53"/>
        <v>45729</v>
      </c>
      <c r="O651" s="18" t="b">
        <f t="shared" si="51"/>
        <v>0</v>
      </c>
      <c r="P651" s="43" t="str">
        <f>IF(O651,swap_curve!$B$19,"")</f>
        <v/>
      </c>
      <c r="Q651" t="str">
        <f t="shared" si="54"/>
        <v/>
      </c>
      <c r="R651" t="str" cm="1">
        <f t="array" ref="R651">IF(O651,BSCall(swap_curve!$B$20,imvol!M651,imvol!P651,imvol!Q651,YEARFRAC(swap_curve!$C$1,imvol!N651)),"")</f>
        <v/>
      </c>
      <c r="S651" s="20" t="str">
        <f t="shared" si="50"/>
        <v/>
      </c>
    </row>
    <row r="652" spans="1:19" x14ac:dyDescent="0.3">
      <c r="A652" s="23" t="s">
        <v>1496</v>
      </c>
      <c r="B652" s="23" t="s">
        <v>1497</v>
      </c>
      <c r="C652" s="24" t="s">
        <v>23</v>
      </c>
      <c r="D652" s="24" t="s">
        <v>23</v>
      </c>
      <c r="E652" s="24" t="s">
        <v>23</v>
      </c>
      <c r="F652" s="24" t="s">
        <v>23</v>
      </c>
      <c r="G652" s="24" t="s">
        <v>23</v>
      </c>
      <c r="H652" s="24">
        <v>16.100000000000001</v>
      </c>
      <c r="I652" s="24">
        <v>1.03</v>
      </c>
      <c r="J652" s="25">
        <v>0</v>
      </c>
      <c r="K652" s="25">
        <v>0</v>
      </c>
      <c r="L652" s="25">
        <v>0</v>
      </c>
      <c r="M652" s="18">
        <f t="shared" si="52"/>
        <v>480</v>
      </c>
      <c r="N652" s="19">
        <f t="shared" si="53"/>
        <v>45729</v>
      </c>
      <c r="O652" s="18" t="b">
        <f t="shared" si="51"/>
        <v>0</v>
      </c>
      <c r="P652" s="43" t="str">
        <f>IF(O652,swap_curve!$B$19,"")</f>
        <v/>
      </c>
      <c r="Q652" t="str">
        <f t="shared" si="54"/>
        <v/>
      </c>
      <c r="R652" t="str" cm="1">
        <f t="array" ref="R652">IF(O652,BSCall(swap_curve!$B$20,imvol!M652,imvol!P652,imvol!Q652,YEARFRAC(swap_curve!$C$1,imvol!N652)),"")</f>
        <v/>
      </c>
      <c r="S652" s="20" t="str">
        <f t="shared" si="50"/>
        <v/>
      </c>
    </row>
    <row r="653" spans="1:19" x14ac:dyDescent="0.3">
      <c r="A653" s="23" t="s">
        <v>1498</v>
      </c>
      <c r="B653" s="23" t="s">
        <v>1499</v>
      </c>
      <c r="C653" s="24" t="s">
        <v>23</v>
      </c>
      <c r="D653" s="24" t="s">
        <v>23</v>
      </c>
      <c r="E653" s="24" t="s">
        <v>23</v>
      </c>
      <c r="F653" s="24" t="s">
        <v>23</v>
      </c>
      <c r="G653" s="24" t="s">
        <v>23</v>
      </c>
      <c r="H653" s="24">
        <v>16.100000000000001</v>
      </c>
      <c r="I653" s="24">
        <v>0.88</v>
      </c>
      <c r="J653" s="25">
        <v>0</v>
      </c>
      <c r="K653" s="25">
        <v>0</v>
      </c>
      <c r="L653" s="25">
        <v>0</v>
      </c>
      <c r="M653" s="18">
        <f t="shared" si="52"/>
        <v>485</v>
      </c>
      <c r="N653" s="19">
        <f t="shared" si="53"/>
        <v>45729</v>
      </c>
      <c r="O653" s="18" t="b">
        <f t="shared" si="51"/>
        <v>0</v>
      </c>
      <c r="P653" s="43" t="str">
        <f>IF(O653,swap_curve!$B$19,"")</f>
        <v/>
      </c>
      <c r="Q653" t="str">
        <f t="shared" si="54"/>
        <v/>
      </c>
      <c r="R653" t="str" cm="1">
        <f t="array" ref="R653">IF(O653,BSCall(swap_curve!$B$20,imvol!M653,imvol!P653,imvol!Q653,YEARFRAC(swap_curve!$C$1,imvol!N653)),"")</f>
        <v/>
      </c>
      <c r="S653" s="20" t="str">
        <f t="shared" si="50"/>
        <v/>
      </c>
    </row>
    <row r="654" spans="1:19" x14ac:dyDescent="0.3">
      <c r="A654" s="23" t="s">
        <v>1500</v>
      </c>
      <c r="B654" s="23" t="s">
        <v>1501</v>
      </c>
      <c r="C654" s="24" t="s">
        <v>23</v>
      </c>
      <c r="D654" s="24" t="s">
        <v>23</v>
      </c>
      <c r="E654" s="24" t="s">
        <v>23</v>
      </c>
      <c r="F654" s="24" t="s">
        <v>23</v>
      </c>
      <c r="G654" s="24" t="s">
        <v>23</v>
      </c>
      <c r="H654" s="24">
        <v>16.100000000000001</v>
      </c>
      <c r="I654" s="24">
        <v>0.74</v>
      </c>
      <c r="J654" s="25">
        <v>0</v>
      </c>
      <c r="K654" s="25">
        <v>0</v>
      </c>
      <c r="L654" s="25">
        <v>0</v>
      </c>
      <c r="M654" s="18">
        <f t="shared" si="52"/>
        <v>490</v>
      </c>
      <c r="N654" s="19">
        <f t="shared" si="53"/>
        <v>45729</v>
      </c>
      <c r="O654" s="18" t="b">
        <f t="shared" si="51"/>
        <v>0</v>
      </c>
      <c r="P654" s="43" t="str">
        <f>IF(O654,swap_curve!$B$19,"")</f>
        <v/>
      </c>
      <c r="Q654" t="str">
        <f t="shared" si="54"/>
        <v/>
      </c>
      <c r="R654" t="str" cm="1">
        <f t="array" ref="R654">IF(O654,BSCall(swap_curve!$B$20,imvol!M654,imvol!P654,imvol!Q654,YEARFRAC(swap_curve!$C$1,imvol!N654)),"")</f>
        <v/>
      </c>
      <c r="S654" s="20" t="str">
        <f t="shared" si="50"/>
        <v/>
      </c>
    </row>
    <row r="655" spans="1:19" x14ac:dyDescent="0.3">
      <c r="A655" s="23" t="s">
        <v>1502</v>
      </c>
      <c r="B655" s="23" t="s">
        <v>1503</v>
      </c>
      <c r="C655" s="24" t="s">
        <v>23</v>
      </c>
      <c r="D655" s="24" t="s">
        <v>23</v>
      </c>
      <c r="E655" s="24" t="s">
        <v>23</v>
      </c>
      <c r="F655" s="24" t="s">
        <v>23</v>
      </c>
      <c r="G655" s="24" t="s">
        <v>23</v>
      </c>
      <c r="H655" s="24">
        <v>16.100000000000001</v>
      </c>
      <c r="I655" s="24">
        <v>0.59</v>
      </c>
      <c r="J655" s="25">
        <v>0</v>
      </c>
      <c r="K655" s="25">
        <v>0</v>
      </c>
      <c r="L655" s="25">
        <v>40</v>
      </c>
      <c r="M655" s="18">
        <f t="shared" si="52"/>
        <v>495</v>
      </c>
      <c r="N655" s="19">
        <f t="shared" si="53"/>
        <v>45729</v>
      </c>
      <c r="O655" s="18" t="b">
        <f t="shared" si="51"/>
        <v>0</v>
      </c>
      <c r="P655" s="43" t="str">
        <f>IF(O655,swap_curve!$B$19,"")</f>
        <v/>
      </c>
      <c r="Q655" t="str">
        <f t="shared" si="54"/>
        <v/>
      </c>
      <c r="R655" t="str" cm="1">
        <f t="array" ref="R655">IF(O655,BSCall(swap_curve!$B$20,imvol!M655,imvol!P655,imvol!Q655,YEARFRAC(swap_curve!$C$1,imvol!N655)),"")</f>
        <v/>
      </c>
      <c r="S655" s="20" t="str">
        <f t="shared" si="50"/>
        <v/>
      </c>
    </row>
    <row r="656" spans="1:19" x14ac:dyDescent="0.3">
      <c r="A656" s="23" t="s">
        <v>520</v>
      </c>
      <c r="B656" s="23" t="s">
        <v>521</v>
      </c>
      <c r="C656" s="24" t="s">
        <v>23</v>
      </c>
      <c r="D656" s="24" t="s">
        <v>23</v>
      </c>
      <c r="E656" s="24" t="s">
        <v>23</v>
      </c>
      <c r="F656" s="24" t="s">
        <v>23</v>
      </c>
      <c r="G656" s="24" t="s">
        <v>23</v>
      </c>
      <c r="H656" s="24">
        <v>13.9</v>
      </c>
      <c r="I656" s="24">
        <v>174.7</v>
      </c>
      <c r="J656" s="25">
        <v>0</v>
      </c>
      <c r="K656" s="25">
        <v>0</v>
      </c>
      <c r="L656" s="25">
        <v>0</v>
      </c>
      <c r="M656" s="18">
        <f t="shared" si="52"/>
        <v>190</v>
      </c>
      <c r="N656" s="19">
        <f t="shared" si="53"/>
        <v>45820</v>
      </c>
      <c r="O656" s="18" t="b">
        <f t="shared" si="51"/>
        <v>0</v>
      </c>
      <c r="P656" s="43" t="str">
        <f>IF(O656,swap_curve!$B$19,"")</f>
        <v/>
      </c>
      <c r="Q656" t="str">
        <f t="shared" si="54"/>
        <v/>
      </c>
      <c r="R656" t="str" cm="1">
        <f t="array" ref="R656">IF(O656,BSCall(swap_curve!$B$20,imvol!M656,imvol!P656,imvol!Q656,YEARFRAC(swap_curve!$C$1,imvol!N656)),"")</f>
        <v/>
      </c>
      <c r="S656" s="20" t="str">
        <f t="shared" si="50"/>
        <v/>
      </c>
    </row>
    <row r="657" spans="1:19" x14ac:dyDescent="0.3">
      <c r="A657" s="23" t="s">
        <v>522</v>
      </c>
      <c r="B657" s="23" t="s">
        <v>523</v>
      </c>
      <c r="C657" s="24" t="s">
        <v>23</v>
      </c>
      <c r="D657" s="24" t="s">
        <v>23</v>
      </c>
      <c r="E657" s="24" t="s">
        <v>23</v>
      </c>
      <c r="F657" s="24" t="s">
        <v>23</v>
      </c>
      <c r="G657" s="24" t="s">
        <v>23</v>
      </c>
      <c r="H657" s="24">
        <v>13.9</v>
      </c>
      <c r="I657" s="24">
        <v>165.05</v>
      </c>
      <c r="J657" s="25">
        <v>0</v>
      </c>
      <c r="K657" s="25">
        <v>0</v>
      </c>
      <c r="L657" s="25">
        <v>0</v>
      </c>
      <c r="M657" s="18">
        <f t="shared" si="52"/>
        <v>200</v>
      </c>
      <c r="N657" s="19">
        <f t="shared" si="53"/>
        <v>45820</v>
      </c>
      <c r="O657" s="18" t="b">
        <f t="shared" si="51"/>
        <v>0</v>
      </c>
      <c r="P657" s="43" t="str">
        <f>IF(O657,swap_curve!$B$19,"")</f>
        <v/>
      </c>
      <c r="Q657" t="str">
        <f t="shared" si="54"/>
        <v/>
      </c>
      <c r="R657" t="str" cm="1">
        <f t="array" ref="R657">IF(O657,BSCall(swap_curve!$B$20,imvol!M657,imvol!P657,imvol!Q657,YEARFRAC(swap_curve!$C$1,imvol!N657)),"")</f>
        <v/>
      </c>
      <c r="S657" s="20" t="str">
        <f t="shared" si="50"/>
        <v/>
      </c>
    </row>
    <row r="658" spans="1:19" x14ac:dyDescent="0.3">
      <c r="A658" s="23" t="s">
        <v>524</v>
      </c>
      <c r="B658" s="23" t="s">
        <v>525</v>
      </c>
      <c r="C658" s="24" t="s">
        <v>23</v>
      </c>
      <c r="D658" s="24" t="s">
        <v>23</v>
      </c>
      <c r="E658" s="24" t="s">
        <v>23</v>
      </c>
      <c r="F658" s="24" t="s">
        <v>23</v>
      </c>
      <c r="G658" s="24" t="s">
        <v>23</v>
      </c>
      <c r="H658" s="24">
        <v>13.9</v>
      </c>
      <c r="I658" s="24">
        <v>155.44999999999999</v>
      </c>
      <c r="J658" s="25">
        <v>0</v>
      </c>
      <c r="K658" s="25">
        <v>0</v>
      </c>
      <c r="L658" s="25">
        <v>0</v>
      </c>
      <c r="M658" s="18">
        <f t="shared" si="52"/>
        <v>210</v>
      </c>
      <c r="N658" s="19">
        <f t="shared" si="53"/>
        <v>45820</v>
      </c>
      <c r="O658" s="18" t="b">
        <f t="shared" si="51"/>
        <v>0</v>
      </c>
      <c r="P658" s="43" t="str">
        <f>IF(O658,swap_curve!$B$19,"")</f>
        <v/>
      </c>
      <c r="Q658" t="str">
        <f t="shared" si="54"/>
        <v/>
      </c>
      <c r="R658" t="str" cm="1">
        <f t="array" ref="R658">IF(O658,BSCall(swap_curve!$B$20,imvol!M658,imvol!P658,imvol!Q658,YEARFRAC(swap_curve!$C$1,imvol!N658)),"")</f>
        <v/>
      </c>
      <c r="S658" s="20" t="str">
        <f t="shared" si="50"/>
        <v/>
      </c>
    </row>
    <row r="659" spans="1:19" x14ac:dyDescent="0.3">
      <c r="A659" s="23" t="s">
        <v>526</v>
      </c>
      <c r="B659" s="23" t="s">
        <v>527</v>
      </c>
      <c r="C659" s="24" t="s">
        <v>23</v>
      </c>
      <c r="D659" s="24" t="s">
        <v>23</v>
      </c>
      <c r="E659" s="24" t="s">
        <v>23</v>
      </c>
      <c r="F659" s="24" t="s">
        <v>23</v>
      </c>
      <c r="G659" s="24" t="s">
        <v>23</v>
      </c>
      <c r="H659" s="24">
        <v>13.9</v>
      </c>
      <c r="I659" s="24">
        <v>145.85</v>
      </c>
      <c r="J659" s="25">
        <v>0</v>
      </c>
      <c r="K659" s="25">
        <v>0</v>
      </c>
      <c r="L659" s="25">
        <v>0</v>
      </c>
      <c r="M659" s="18">
        <f t="shared" si="52"/>
        <v>220</v>
      </c>
      <c r="N659" s="19">
        <f t="shared" si="53"/>
        <v>45820</v>
      </c>
      <c r="O659" s="18" t="b">
        <f t="shared" si="51"/>
        <v>0</v>
      </c>
      <c r="P659" s="43" t="str">
        <f>IF(O659,swap_curve!$B$19,"")</f>
        <v/>
      </c>
      <c r="Q659" t="str">
        <f t="shared" si="54"/>
        <v/>
      </c>
      <c r="R659" t="str" cm="1">
        <f t="array" ref="R659">IF(O659,BSCall(swap_curve!$B$20,imvol!M659,imvol!P659,imvol!Q659,YEARFRAC(swap_curve!$C$1,imvol!N659)),"")</f>
        <v/>
      </c>
      <c r="S659" s="20" t="str">
        <f t="shared" si="50"/>
        <v/>
      </c>
    </row>
    <row r="660" spans="1:19" x14ac:dyDescent="0.3">
      <c r="A660" s="23" t="s">
        <v>528</v>
      </c>
      <c r="B660" s="23" t="s">
        <v>529</v>
      </c>
      <c r="C660" s="24" t="s">
        <v>23</v>
      </c>
      <c r="D660" s="24" t="s">
        <v>23</v>
      </c>
      <c r="E660" s="24" t="s">
        <v>23</v>
      </c>
      <c r="F660" s="24" t="s">
        <v>23</v>
      </c>
      <c r="G660" s="24" t="s">
        <v>23</v>
      </c>
      <c r="H660" s="24">
        <v>13.9</v>
      </c>
      <c r="I660" s="24">
        <v>136.25</v>
      </c>
      <c r="J660" s="25">
        <v>0</v>
      </c>
      <c r="K660" s="25">
        <v>0</v>
      </c>
      <c r="L660" s="25">
        <v>0</v>
      </c>
      <c r="M660" s="18">
        <f t="shared" si="52"/>
        <v>230</v>
      </c>
      <c r="N660" s="19">
        <f t="shared" si="53"/>
        <v>45820</v>
      </c>
      <c r="O660" s="18" t="b">
        <f t="shared" si="51"/>
        <v>0</v>
      </c>
      <c r="P660" s="43" t="str">
        <f>IF(O660,swap_curve!$B$19,"")</f>
        <v/>
      </c>
      <c r="Q660" t="str">
        <f t="shared" si="54"/>
        <v/>
      </c>
      <c r="R660" t="str" cm="1">
        <f t="array" ref="R660">IF(O660,BSCall(swap_curve!$B$20,imvol!M660,imvol!P660,imvol!Q660,YEARFRAC(swap_curve!$C$1,imvol!N660)),"")</f>
        <v/>
      </c>
      <c r="S660" s="20" t="str">
        <f t="shared" si="50"/>
        <v/>
      </c>
    </row>
    <row r="661" spans="1:19" x14ac:dyDescent="0.3">
      <c r="A661" s="23" t="s">
        <v>530</v>
      </c>
      <c r="B661" s="23" t="s">
        <v>531</v>
      </c>
      <c r="C661" s="24" t="s">
        <v>23</v>
      </c>
      <c r="D661" s="24" t="s">
        <v>23</v>
      </c>
      <c r="E661" s="24" t="s">
        <v>23</v>
      </c>
      <c r="F661" s="24" t="s">
        <v>23</v>
      </c>
      <c r="G661" s="24" t="s">
        <v>23</v>
      </c>
      <c r="H661" s="24">
        <v>13.9</v>
      </c>
      <c r="I661" s="24">
        <v>126.65</v>
      </c>
      <c r="J661" s="25">
        <v>0</v>
      </c>
      <c r="K661" s="25">
        <v>0</v>
      </c>
      <c r="L661" s="25">
        <v>0</v>
      </c>
      <c r="M661" s="18">
        <f t="shared" si="52"/>
        <v>240</v>
      </c>
      <c r="N661" s="19">
        <f t="shared" si="53"/>
        <v>45820</v>
      </c>
      <c r="O661" s="18" t="b">
        <f t="shared" si="51"/>
        <v>0</v>
      </c>
      <c r="P661" s="43" t="str">
        <f>IF(O661,swap_curve!$B$19,"")</f>
        <v/>
      </c>
      <c r="Q661" t="str">
        <f t="shared" si="54"/>
        <v/>
      </c>
      <c r="R661" t="str" cm="1">
        <f t="array" ref="R661">IF(O661,BSCall(swap_curve!$B$20,imvol!M661,imvol!P661,imvol!Q661,YEARFRAC(swap_curve!$C$1,imvol!N661)),"")</f>
        <v/>
      </c>
      <c r="S661" s="20" t="str">
        <f t="shared" si="50"/>
        <v/>
      </c>
    </row>
    <row r="662" spans="1:19" x14ac:dyDescent="0.3">
      <c r="A662" s="23" t="s">
        <v>532</v>
      </c>
      <c r="B662" s="23" t="s">
        <v>533</v>
      </c>
      <c r="C662" s="24" t="s">
        <v>23</v>
      </c>
      <c r="D662" s="24" t="s">
        <v>23</v>
      </c>
      <c r="E662" s="24" t="s">
        <v>23</v>
      </c>
      <c r="F662" s="24" t="s">
        <v>23</v>
      </c>
      <c r="G662" s="24" t="s">
        <v>23</v>
      </c>
      <c r="H662" s="24">
        <v>13.9</v>
      </c>
      <c r="I662" s="24">
        <v>117.05</v>
      </c>
      <c r="J662" s="25">
        <v>0</v>
      </c>
      <c r="K662" s="25">
        <v>0</v>
      </c>
      <c r="L662" s="25">
        <v>0</v>
      </c>
      <c r="M662" s="18">
        <f t="shared" si="52"/>
        <v>250</v>
      </c>
      <c r="N662" s="19">
        <f t="shared" si="53"/>
        <v>45820</v>
      </c>
      <c r="O662" s="18" t="b">
        <f t="shared" si="51"/>
        <v>0</v>
      </c>
      <c r="P662" s="43" t="str">
        <f>IF(O662,swap_curve!$B$19,"")</f>
        <v/>
      </c>
      <c r="Q662" t="str">
        <f t="shared" si="54"/>
        <v/>
      </c>
      <c r="R662" t="str" cm="1">
        <f t="array" ref="R662">IF(O662,BSCall(swap_curve!$B$20,imvol!M662,imvol!P662,imvol!Q662,YEARFRAC(swap_curve!$C$1,imvol!N662)),"")</f>
        <v/>
      </c>
      <c r="S662" s="20" t="str">
        <f t="shared" si="50"/>
        <v/>
      </c>
    </row>
    <row r="663" spans="1:19" x14ac:dyDescent="0.3">
      <c r="A663" s="23" t="s">
        <v>534</v>
      </c>
      <c r="B663" s="23" t="s">
        <v>535</v>
      </c>
      <c r="C663" s="24" t="s">
        <v>23</v>
      </c>
      <c r="D663" s="24" t="s">
        <v>23</v>
      </c>
      <c r="E663" s="24" t="s">
        <v>23</v>
      </c>
      <c r="F663" s="24" t="s">
        <v>23</v>
      </c>
      <c r="G663" s="24" t="s">
        <v>23</v>
      </c>
      <c r="H663" s="24">
        <v>13.9</v>
      </c>
      <c r="I663" s="24">
        <v>107.5</v>
      </c>
      <c r="J663" s="25">
        <v>0</v>
      </c>
      <c r="K663" s="25">
        <v>0</v>
      </c>
      <c r="L663" s="25">
        <v>0</v>
      </c>
      <c r="M663" s="18">
        <f t="shared" si="52"/>
        <v>260</v>
      </c>
      <c r="N663" s="19">
        <f t="shared" si="53"/>
        <v>45820</v>
      </c>
      <c r="O663" s="18" t="b">
        <f t="shared" si="51"/>
        <v>0</v>
      </c>
      <c r="P663" s="43" t="str">
        <f>IF(O663,swap_curve!$B$19,"")</f>
        <v/>
      </c>
      <c r="Q663" t="str">
        <f t="shared" si="54"/>
        <v/>
      </c>
      <c r="R663" t="str" cm="1">
        <f t="array" ref="R663">IF(O663,BSCall(swap_curve!$B$20,imvol!M663,imvol!P663,imvol!Q663,YEARFRAC(swap_curve!$C$1,imvol!N663)),"")</f>
        <v/>
      </c>
      <c r="S663" s="20" t="str">
        <f t="shared" si="50"/>
        <v/>
      </c>
    </row>
    <row r="664" spans="1:19" x14ac:dyDescent="0.3">
      <c r="A664" s="23" t="s">
        <v>536</v>
      </c>
      <c r="B664" s="23" t="s">
        <v>537</v>
      </c>
      <c r="C664" s="24" t="s">
        <v>23</v>
      </c>
      <c r="D664" s="24" t="s">
        <v>23</v>
      </c>
      <c r="E664" s="24" t="s">
        <v>23</v>
      </c>
      <c r="F664" s="24" t="s">
        <v>23</v>
      </c>
      <c r="G664" s="24" t="s">
        <v>23</v>
      </c>
      <c r="H664" s="24">
        <v>13.9</v>
      </c>
      <c r="I664" s="24">
        <v>98.05</v>
      </c>
      <c r="J664" s="25">
        <v>0</v>
      </c>
      <c r="K664" s="25">
        <v>0</v>
      </c>
      <c r="L664" s="25">
        <v>0</v>
      </c>
      <c r="M664" s="18">
        <f t="shared" si="52"/>
        <v>270</v>
      </c>
      <c r="N664" s="19">
        <f t="shared" si="53"/>
        <v>45820</v>
      </c>
      <c r="O664" s="18" t="b">
        <f t="shared" si="51"/>
        <v>0</v>
      </c>
      <c r="P664" s="43" t="str">
        <f>IF(O664,swap_curve!$B$19,"")</f>
        <v/>
      </c>
      <c r="Q664" t="str">
        <f t="shared" si="54"/>
        <v/>
      </c>
      <c r="R664" t="str" cm="1">
        <f t="array" ref="R664">IF(O664,BSCall(swap_curve!$B$20,imvol!M664,imvol!P664,imvol!Q664,YEARFRAC(swap_curve!$C$1,imvol!N664)),"")</f>
        <v/>
      </c>
      <c r="S664" s="20" t="str">
        <f t="shared" si="50"/>
        <v/>
      </c>
    </row>
    <row r="665" spans="1:19" x14ac:dyDescent="0.3">
      <c r="A665" s="23" t="s">
        <v>538</v>
      </c>
      <c r="B665" s="23" t="s">
        <v>539</v>
      </c>
      <c r="C665" s="24" t="s">
        <v>23</v>
      </c>
      <c r="D665" s="24" t="s">
        <v>23</v>
      </c>
      <c r="E665" s="24" t="s">
        <v>23</v>
      </c>
      <c r="F665" s="24" t="s">
        <v>23</v>
      </c>
      <c r="G665" s="24" t="s">
        <v>23</v>
      </c>
      <c r="H665" s="24">
        <v>13.9</v>
      </c>
      <c r="I665" s="24">
        <v>88.65</v>
      </c>
      <c r="J665" s="25">
        <v>0</v>
      </c>
      <c r="K665" s="25">
        <v>0</v>
      </c>
      <c r="L665" s="25">
        <v>0</v>
      </c>
      <c r="M665" s="18">
        <f t="shared" si="52"/>
        <v>280</v>
      </c>
      <c r="N665" s="19">
        <f t="shared" si="53"/>
        <v>45820</v>
      </c>
      <c r="O665" s="18" t="b">
        <f t="shared" si="51"/>
        <v>0</v>
      </c>
      <c r="P665" s="43" t="str">
        <f>IF(O665,swap_curve!$B$19,"")</f>
        <v/>
      </c>
      <c r="Q665" t="str">
        <f t="shared" si="54"/>
        <v/>
      </c>
      <c r="R665" t="str" cm="1">
        <f t="array" ref="R665">IF(O665,BSCall(swap_curve!$B$20,imvol!M665,imvol!P665,imvol!Q665,YEARFRAC(swap_curve!$C$1,imvol!N665)),"")</f>
        <v/>
      </c>
      <c r="S665" s="20" t="str">
        <f t="shared" si="50"/>
        <v/>
      </c>
    </row>
    <row r="666" spans="1:19" x14ac:dyDescent="0.3">
      <c r="A666" s="23" t="s">
        <v>540</v>
      </c>
      <c r="B666" s="23" t="s">
        <v>541</v>
      </c>
      <c r="C666" s="24" t="s">
        <v>23</v>
      </c>
      <c r="D666" s="24" t="s">
        <v>23</v>
      </c>
      <c r="E666" s="24" t="s">
        <v>23</v>
      </c>
      <c r="F666" s="24" t="s">
        <v>23</v>
      </c>
      <c r="G666" s="24" t="s">
        <v>23</v>
      </c>
      <c r="H666" s="24">
        <v>13.9</v>
      </c>
      <c r="I666" s="24">
        <v>79.5</v>
      </c>
      <c r="J666" s="25">
        <v>0</v>
      </c>
      <c r="K666" s="25">
        <v>0</v>
      </c>
      <c r="L666" s="25">
        <v>0</v>
      </c>
      <c r="M666" s="18">
        <f t="shared" si="52"/>
        <v>290</v>
      </c>
      <c r="N666" s="19">
        <f t="shared" si="53"/>
        <v>45820</v>
      </c>
      <c r="O666" s="18" t="b">
        <f t="shared" si="51"/>
        <v>0</v>
      </c>
      <c r="P666" s="43" t="str">
        <f>IF(O666,swap_curve!$B$19,"")</f>
        <v/>
      </c>
      <c r="Q666" t="str">
        <f t="shared" si="54"/>
        <v/>
      </c>
      <c r="R666" t="str" cm="1">
        <f t="array" ref="R666">IF(O666,BSCall(swap_curve!$B$20,imvol!M666,imvol!P666,imvol!Q666,YEARFRAC(swap_curve!$C$1,imvol!N666)),"")</f>
        <v/>
      </c>
      <c r="S666" s="20" t="str">
        <f t="shared" si="50"/>
        <v/>
      </c>
    </row>
    <row r="667" spans="1:19" x14ac:dyDescent="0.3">
      <c r="A667" s="23" t="s">
        <v>542</v>
      </c>
      <c r="B667" s="23" t="s">
        <v>543</v>
      </c>
      <c r="C667" s="24" t="s">
        <v>23</v>
      </c>
      <c r="D667" s="24" t="s">
        <v>23</v>
      </c>
      <c r="E667" s="24" t="s">
        <v>23</v>
      </c>
      <c r="F667" s="24" t="s">
        <v>23</v>
      </c>
      <c r="G667" s="24" t="s">
        <v>23</v>
      </c>
      <c r="H667" s="24">
        <v>13.9</v>
      </c>
      <c r="I667" s="24">
        <v>70.55</v>
      </c>
      <c r="J667" s="25">
        <v>0</v>
      </c>
      <c r="K667" s="25">
        <v>0</v>
      </c>
      <c r="L667" s="25">
        <v>2</v>
      </c>
      <c r="M667" s="18">
        <f t="shared" si="52"/>
        <v>300</v>
      </c>
      <c r="N667" s="19">
        <f t="shared" si="53"/>
        <v>45820</v>
      </c>
      <c r="O667" s="18" t="b">
        <f t="shared" si="51"/>
        <v>0</v>
      </c>
      <c r="P667" s="43" t="str">
        <f>IF(O667,swap_curve!$B$19,"")</f>
        <v/>
      </c>
      <c r="Q667" t="str">
        <f t="shared" si="54"/>
        <v/>
      </c>
      <c r="R667" t="str" cm="1">
        <f t="array" ref="R667">IF(O667,BSCall(swap_curve!$B$20,imvol!M667,imvol!P667,imvol!Q667,YEARFRAC(swap_curve!$C$1,imvol!N667)),"")</f>
        <v/>
      </c>
      <c r="S667" s="20" t="str">
        <f t="shared" si="50"/>
        <v/>
      </c>
    </row>
    <row r="668" spans="1:19" x14ac:dyDescent="0.3">
      <c r="A668" s="23" t="s">
        <v>544</v>
      </c>
      <c r="B668" s="23" t="s">
        <v>545</v>
      </c>
      <c r="C668" s="24" t="s">
        <v>23</v>
      </c>
      <c r="D668" s="24" t="s">
        <v>23</v>
      </c>
      <c r="E668" s="24" t="s">
        <v>23</v>
      </c>
      <c r="F668" s="24" t="s">
        <v>23</v>
      </c>
      <c r="G668" s="24" t="s">
        <v>23</v>
      </c>
      <c r="H668" s="24">
        <v>13.9</v>
      </c>
      <c r="I668" s="24">
        <v>61.85</v>
      </c>
      <c r="J668" s="25">
        <v>0</v>
      </c>
      <c r="K668" s="25">
        <v>0</v>
      </c>
      <c r="L668" s="25">
        <v>254</v>
      </c>
      <c r="M668" s="18">
        <f t="shared" si="52"/>
        <v>310</v>
      </c>
      <c r="N668" s="19">
        <f t="shared" si="53"/>
        <v>45820</v>
      </c>
      <c r="O668" s="18" t="b">
        <f t="shared" si="51"/>
        <v>0</v>
      </c>
      <c r="P668" s="43" t="str">
        <f>IF(O668,swap_curve!$B$19,"")</f>
        <v/>
      </c>
      <c r="Q668" t="str">
        <f t="shared" si="54"/>
        <v/>
      </c>
      <c r="R668" t="str" cm="1">
        <f t="array" ref="R668">IF(O668,BSCall(swap_curve!$B$20,imvol!M668,imvol!P668,imvol!Q668,YEARFRAC(swap_curve!$C$1,imvol!N668)),"")</f>
        <v/>
      </c>
      <c r="S668" s="20" t="str">
        <f t="shared" si="50"/>
        <v/>
      </c>
    </row>
    <row r="669" spans="1:19" x14ac:dyDescent="0.3">
      <c r="A669" s="23" t="s">
        <v>546</v>
      </c>
      <c r="B669" s="23" t="s">
        <v>547</v>
      </c>
      <c r="C669" s="24" t="s">
        <v>23</v>
      </c>
      <c r="D669" s="24" t="s">
        <v>23</v>
      </c>
      <c r="E669" s="24" t="s">
        <v>23</v>
      </c>
      <c r="F669" s="24" t="s">
        <v>23</v>
      </c>
      <c r="G669" s="24" t="s">
        <v>23</v>
      </c>
      <c r="H669" s="24">
        <v>13.9</v>
      </c>
      <c r="I669" s="24">
        <v>53.65</v>
      </c>
      <c r="J669" s="25">
        <v>0</v>
      </c>
      <c r="K669" s="25">
        <v>0</v>
      </c>
      <c r="L669" s="25">
        <v>0</v>
      </c>
      <c r="M669" s="18">
        <f t="shared" si="52"/>
        <v>320</v>
      </c>
      <c r="N669" s="19">
        <f t="shared" si="53"/>
        <v>45820</v>
      </c>
      <c r="O669" s="18" t="b">
        <f t="shared" si="51"/>
        <v>0</v>
      </c>
      <c r="P669" s="43" t="str">
        <f>IF(O669,swap_curve!$B$19,"")</f>
        <v/>
      </c>
      <c r="Q669" t="str">
        <f t="shared" si="54"/>
        <v/>
      </c>
      <c r="R669" t="str" cm="1">
        <f t="array" ref="R669">IF(O669,BSCall(swap_curve!$B$20,imvol!M669,imvol!P669,imvol!Q669,YEARFRAC(swap_curve!$C$1,imvol!N669)),"")</f>
        <v/>
      </c>
      <c r="S669" s="20" t="str">
        <f t="shared" si="50"/>
        <v/>
      </c>
    </row>
    <row r="670" spans="1:19" x14ac:dyDescent="0.3">
      <c r="A670" s="23" t="s">
        <v>548</v>
      </c>
      <c r="B670" s="23" t="s">
        <v>549</v>
      </c>
      <c r="C670" s="24" t="s">
        <v>23</v>
      </c>
      <c r="D670" s="24" t="s">
        <v>23</v>
      </c>
      <c r="E670" s="24" t="s">
        <v>23</v>
      </c>
      <c r="F670" s="24" t="s">
        <v>23</v>
      </c>
      <c r="G670" s="24" t="s">
        <v>23</v>
      </c>
      <c r="H670" s="24">
        <v>13.9</v>
      </c>
      <c r="I670" s="24">
        <v>46.05</v>
      </c>
      <c r="J670" s="25">
        <v>0</v>
      </c>
      <c r="K670" s="25">
        <v>0</v>
      </c>
      <c r="L670" s="25">
        <v>400</v>
      </c>
      <c r="M670" s="18">
        <f t="shared" si="52"/>
        <v>330</v>
      </c>
      <c r="N670" s="19">
        <f t="shared" si="53"/>
        <v>45820</v>
      </c>
      <c r="O670" s="18" t="b">
        <f t="shared" si="51"/>
        <v>0</v>
      </c>
      <c r="P670" s="43" t="str">
        <f>IF(O670,swap_curve!$B$19,"")</f>
        <v/>
      </c>
      <c r="Q670" t="str">
        <f t="shared" si="54"/>
        <v/>
      </c>
      <c r="R670" t="str" cm="1">
        <f t="array" ref="R670">IF(O670,BSCall(swap_curve!$B$20,imvol!M670,imvol!P670,imvol!Q670,YEARFRAC(swap_curve!$C$1,imvol!N670)),"")</f>
        <v/>
      </c>
      <c r="S670" s="20" t="str">
        <f t="shared" si="50"/>
        <v/>
      </c>
    </row>
    <row r="671" spans="1:19" x14ac:dyDescent="0.3">
      <c r="A671" s="23" t="s">
        <v>550</v>
      </c>
      <c r="B671" s="23" t="s">
        <v>551</v>
      </c>
      <c r="C671" s="24" t="s">
        <v>23</v>
      </c>
      <c r="D671" s="24" t="s">
        <v>23</v>
      </c>
      <c r="E671" s="24" t="s">
        <v>23</v>
      </c>
      <c r="F671" s="24" t="s">
        <v>23</v>
      </c>
      <c r="G671" s="24" t="s">
        <v>23</v>
      </c>
      <c r="H671" s="24">
        <v>13.9</v>
      </c>
      <c r="I671" s="24">
        <v>39</v>
      </c>
      <c r="J671" s="25">
        <v>0</v>
      </c>
      <c r="K671" s="25">
        <v>0</v>
      </c>
      <c r="L671" s="25">
        <v>1</v>
      </c>
      <c r="M671" s="18">
        <f t="shared" si="52"/>
        <v>340</v>
      </c>
      <c r="N671" s="19">
        <f t="shared" si="53"/>
        <v>45820</v>
      </c>
      <c r="O671" s="18" t="b">
        <f t="shared" si="51"/>
        <v>0</v>
      </c>
      <c r="P671" s="43" t="str">
        <f>IF(O671,swap_curve!$B$19,"")</f>
        <v/>
      </c>
      <c r="Q671" t="str">
        <f t="shared" si="54"/>
        <v/>
      </c>
      <c r="R671" t="str" cm="1">
        <f t="array" ref="R671">IF(O671,BSCall(swap_curve!$B$20,imvol!M671,imvol!P671,imvol!Q671,YEARFRAC(swap_curve!$C$1,imvol!N671)),"")</f>
        <v/>
      </c>
      <c r="S671" s="20" t="str">
        <f t="shared" si="50"/>
        <v/>
      </c>
    </row>
    <row r="672" spans="1:19" x14ac:dyDescent="0.3">
      <c r="A672" s="23" t="s">
        <v>552</v>
      </c>
      <c r="B672" s="23" t="s">
        <v>553</v>
      </c>
      <c r="C672" s="24" t="s">
        <v>23</v>
      </c>
      <c r="D672" s="24" t="s">
        <v>23</v>
      </c>
      <c r="E672" s="24" t="s">
        <v>23</v>
      </c>
      <c r="F672" s="24" t="s">
        <v>23</v>
      </c>
      <c r="G672" s="24" t="s">
        <v>23</v>
      </c>
      <c r="H672" s="24">
        <v>13.9</v>
      </c>
      <c r="I672" s="24">
        <v>32.4</v>
      </c>
      <c r="J672" s="25">
        <v>0</v>
      </c>
      <c r="K672" s="25">
        <v>0</v>
      </c>
      <c r="L672" s="25">
        <v>501</v>
      </c>
      <c r="M672" s="18">
        <f t="shared" si="52"/>
        <v>350</v>
      </c>
      <c r="N672" s="19">
        <f t="shared" si="53"/>
        <v>45820</v>
      </c>
      <c r="O672" s="18" t="b">
        <f t="shared" si="51"/>
        <v>0</v>
      </c>
      <c r="P672" s="43" t="str">
        <f>IF(O672,swap_curve!$B$19,"")</f>
        <v/>
      </c>
      <c r="Q672" t="str">
        <f t="shared" si="54"/>
        <v/>
      </c>
      <c r="R672" t="str" cm="1">
        <f t="array" ref="R672">IF(O672,BSCall(swap_curve!$B$20,imvol!M672,imvol!P672,imvol!Q672,YEARFRAC(swap_curve!$C$1,imvol!N672)),"")</f>
        <v/>
      </c>
      <c r="S672" s="20" t="str">
        <f t="shared" si="50"/>
        <v/>
      </c>
    </row>
    <row r="673" spans="1:19" x14ac:dyDescent="0.3">
      <c r="A673" s="23" t="s">
        <v>554</v>
      </c>
      <c r="B673" s="23" t="s">
        <v>555</v>
      </c>
      <c r="C673" s="24" t="s">
        <v>23</v>
      </c>
      <c r="D673" s="24" t="s">
        <v>23</v>
      </c>
      <c r="E673" s="24" t="s">
        <v>23</v>
      </c>
      <c r="F673" s="24" t="s">
        <v>23</v>
      </c>
      <c r="G673" s="24" t="s">
        <v>23</v>
      </c>
      <c r="H673" s="24">
        <v>13.9</v>
      </c>
      <c r="I673" s="24">
        <v>26.85</v>
      </c>
      <c r="J673" s="25">
        <v>0</v>
      </c>
      <c r="K673" s="25">
        <v>0</v>
      </c>
      <c r="L673" s="25">
        <v>0</v>
      </c>
      <c r="M673" s="18">
        <f t="shared" si="52"/>
        <v>360</v>
      </c>
      <c r="N673" s="19">
        <f t="shared" si="53"/>
        <v>45820</v>
      </c>
      <c r="O673" s="18" t="b">
        <f t="shared" si="51"/>
        <v>0</v>
      </c>
      <c r="P673" s="43" t="str">
        <f>IF(O673,swap_curve!$B$19,"")</f>
        <v/>
      </c>
      <c r="Q673" t="str">
        <f t="shared" si="54"/>
        <v/>
      </c>
      <c r="R673" t="str" cm="1">
        <f t="array" ref="R673">IF(O673,BSCall(swap_curve!$B$20,imvol!M673,imvol!P673,imvol!Q673,YEARFRAC(swap_curve!$C$1,imvol!N673)),"")</f>
        <v/>
      </c>
      <c r="S673" s="20" t="str">
        <f t="shared" si="50"/>
        <v/>
      </c>
    </row>
    <row r="674" spans="1:19" x14ac:dyDescent="0.3">
      <c r="A674" s="23" t="s">
        <v>556</v>
      </c>
      <c r="B674" s="23" t="s">
        <v>557</v>
      </c>
      <c r="C674" s="24" t="s">
        <v>23</v>
      </c>
      <c r="D674" s="24" t="s">
        <v>23</v>
      </c>
      <c r="E674" s="24" t="s">
        <v>23</v>
      </c>
      <c r="F674" s="24" t="s">
        <v>23</v>
      </c>
      <c r="G674" s="24" t="s">
        <v>23</v>
      </c>
      <c r="H674" s="24">
        <v>13.9</v>
      </c>
      <c r="I674" s="24">
        <v>21.85</v>
      </c>
      <c r="J674" s="25">
        <v>0</v>
      </c>
      <c r="K674" s="25">
        <v>0</v>
      </c>
      <c r="L674" s="25">
        <v>1001</v>
      </c>
      <c r="M674" s="18">
        <f t="shared" si="52"/>
        <v>370</v>
      </c>
      <c r="N674" s="19">
        <f t="shared" si="53"/>
        <v>45820</v>
      </c>
      <c r="O674" s="18" t="b">
        <f t="shared" si="51"/>
        <v>0</v>
      </c>
      <c r="P674" s="43" t="str">
        <f>IF(O674,swap_curve!$B$19,"")</f>
        <v/>
      </c>
      <c r="Q674" t="str">
        <f t="shared" si="54"/>
        <v/>
      </c>
      <c r="R674" t="str" cm="1">
        <f t="array" ref="R674">IF(O674,BSCall(swap_curve!$B$20,imvol!M674,imvol!P674,imvol!Q674,YEARFRAC(swap_curve!$C$1,imvol!N674)),"")</f>
        <v/>
      </c>
      <c r="S674" s="20" t="str">
        <f t="shared" si="50"/>
        <v/>
      </c>
    </row>
    <row r="675" spans="1:19" x14ac:dyDescent="0.3">
      <c r="A675" s="23" t="s">
        <v>558</v>
      </c>
      <c r="B675" s="23" t="s">
        <v>559</v>
      </c>
      <c r="C675" s="24" t="s">
        <v>23</v>
      </c>
      <c r="D675" s="24" t="s">
        <v>23</v>
      </c>
      <c r="E675" s="24" t="s">
        <v>23</v>
      </c>
      <c r="F675" s="24" t="s">
        <v>23</v>
      </c>
      <c r="G675" s="24" t="s">
        <v>23</v>
      </c>
      <c r="H675" s="24">
        <v>13.9</v>
      </c>
      <c r="I675" s="24">
        <v>17.350000000000001</v>
      </c>
      <c r="J675" s="25">
        <v>0</v>
      </c>
      <c r="K675" s="25">
        <v>0</v>
      </c>
      <c r="L675" s="25">
        <v>2203</v>
      </c>
      <c r="M675" s="18">
        <f t="shared" si="52"/>
        <v>380</v>
      </c>
      <c r="N675" s="19">
        <f t="shared" si="53"/>
        <v>45820</v>
      </c>
      <c r="O675" s="18" t="b">
        <f t="shared" si="51"/>
        <v>0</v>
      </c>
      <c r="P675" s="43" t="str">
        <f>IF(O675,swap_curve!$B$19,"")</f>
        <v/>
      </c>
      <c r="Q675" t="str">
        <f t="shared" si="54"/>
        <v/>
      </c>
      <c r="R675" t="str" cm="1">
        <f t="array" ref="R675">IF(O675,BSCall(swap_curve!$B$20,imvol!M675,imvol!P675,imvol!Q675,YEARFRAC(swap_curve!$C$1,imvol!N675)),"")</f>
        <v/>
      </c>
      <c r="S675" s="20" t="str">
        <f t="shared" si="50"/>
        <v/>
      </c>
    </row>
    <row r="676" spans="1:19" x14ac:dyDescent="0.3">
      <c r="A676" s="23" t="s">
        <v>560</v>
      </c>
      <c r="B676" s="23" t="s">
        <v>561</v>
      </c>
      <c r="C676" s="24" t="s">
        <v>23</v>
      </c>
      <c r="D676" s="24" t="s">
        <v>23</v>
      </c>
      <c r="E676" s="24" t="s">
        <v>23</v>
      </c>
      <c r="F676" s="24" t="s">
        <v>23</v>
      </c>
      <c r="G676" s="24" t="s">
        <v>23</v>
      </c>
      <c r="H676" s="24">
        <v>13.9</v>
      </c>
      <c r="I676" s="24">
        <v>13.9</v>
      </c>
      <c r="J676" s="25">
        <v>0</v>
      </c>
      <c r="K676" s="25">
        <v>0</v>
      </c>
      <c r="L676" s="25">
        <v>13</v>
      </c>
      <c r="M676" s="18">
        <f t="shared" si="52"/>
        <v>390</v>
      </c>
      <c r="N676" s="19">
        <f t="shared" si="53"/>
        <v>45820</v>
      </c>
      <c r="O676" s="18" t="b">
        <f t="shared" si="51"/>
        <v>0</v>
      </c>
      <c r="P676" s="43" t="str">
        <f>IF(O676,swap_curve!$B$19,"")</f>
        <v/>
      </c>
      <c r="Q676" t="str">
        <f t="shared" si="54"/>
        <v/>
      </c>
      <c r="R676" t="str" cm="1">
        <f t="array" ref="R676">IF(O676,BSCall(swap_curve!$B$20,imvol!M676,imvol!P676,imvol!Q676,YEARFRAC(swap_curve!$C$1,imvol!N676)),"")</f>
        <v/>
      </c>
      <c r="S676" s="20" t="str">
        <f t="shared" si="50"/>
        <v/>
      </c>
    </row>
    <row r="677" spans="1:19" x14ac:dyDescent="0.3">
      <c r="A677" s="23" t="s">
        <v>562</v>
      </c>
      <c r="B677" s="23" t="s">
        <v>563</v>
      </c>
      <c r="C677" s="24" t="s">
        <v>23</v>
      </c>
      <c r="D677" s="24" t="s">
        <v>23</v>
      </c>
      <c r="E677" s="24" t="s">
        <v>23</v>
      </c>
      <c r="F677" s="24" t="s">
        <v>23</v>
      </c>
      <c r="G677" s="24" t="s">
        <v>23</v>
      </c>
      <c r="H677" s="24">
        <v>13.9</v>
      </c>
      <c r="I677" s="24">
        <v>10.8</v>
      </c>
      <c r="J677" s="25">
        <v>0</v>
      </c>
      <c r="K677" s="25">
        <v>0</v>
      </c>
      <c r="L677" s="25">
        <v>25</v>
      </c>
      <c r="M677" s="18">
        <f t="shared" si="52"/>
        <v>400</v>
      </c>
      <c r="N677" s="19">
        <f t="shared" si="53"/>
        <v>45820</v>
      </c>
      <c r="O677" s="18" t="b">
        <f t="shared" si="51"/>
        <v>0</v>
      </c>
      <c r="P677" s="43" t="str">
        <f>IF(O677,swap_curve!$B$19,"")</f>
        <v/>
      </c>
      <c r="Q677" t="str">
        <f t="shared" si="54"/>
        <v/>
      </c>
      <c r="R677" t="str" cm="1">
        <f t="array" ref="R677">IF(O677,BSCall(swap_curve!$B$20,imvol!M677,imvol!P677,imvol!Q677,YEARFRAC(swap_curve!$C$1,imvol!N677)),"")</f>
        <v/>
      </c>
      <c r="S677" s="20" t="str">
        <f t="shared" si="50"/>
        <v/>
      </c>
    </row>
    <row r="678" spans="1:19" x14ac:dyDescent="0.3">
      <c r="A678" s="23" t="s">
        <v>564</v>
      </c>
      <c r="B678" s="23" t="s">
        <v>565</v>
      </c>
      <c r="C678" s="24" t="s">
        <v>23</v>
      </c>
      <c r="D678" s="24" t="s">
        <v>23</v>
      </c>
      <c r="E678" s="24" t="s">
        <v>23</v>
      </c>
      <c r="F678" s="24" t="s">
        <v>23</v>
      </c>
      <c r="G678" s="24" t="s">
        <v>23</v>
      </c>
      <c r="H678" s="24">
        <v>13.9</v>
      </c>
      <c r="I678" s="24">
        <v>8.35</v>
      </c>
      <c r="J678" s="25">
        <v>0</v>
      </c>
      <c r="K678" s="25">
        <v>0</v>
      </c>
      <c r="L678" s="25">
        <v>2279</v>
      </c>
      <c r="M678" s="18">
        <f t="shared" si="52"/>
        <v>410</v>
      </c>
      <c r="N678" s="19">
        <f t="shared" si="53"/>
        <v>45820</v>
      </c>
      <c r="O678" s="18" t="b">
        <f t="shared" si="51"/>
        <v>0</v>
      </c>
      <c r="P678" s="43" t="str">
        <f>IF(O678,swap_curve!$B$19,"")</f>
        <v/>
      </c>
      <c r="Q678" t="str">
        <f t="shared" si="54"/>
        <v/>
      </c>
      <c r="R678" t="str" cm="1">
        <f t="array" ref="R678">IF(O678,BSCall(swap_curve!$B$20,imvol!M678,imvol!P678,imvol!Q678,YEARFRAC(swap_curve!$C$1,imvol!N678)),"")</f>
        <v/>
      </c>
      <c r="S678" s="20" t="str">
        <f t="shared" si="50"/>
        <v/>
      </c>
    </row>
    <row r="679" spans="1:19" x14ac:dyDescent="0.3">
      <c r="A679" s="23" t="s">
        <v>566</v>
      </c>
      <c r="B679" s="23" t="s">
        <v>567</v>
      </c>
      <c r="C679" s="24" t="s">
        <v>23</v>
      </c>
      <c r="D679" s="24" t="s">
        <v>23</v>
      </c>
      <c r="E679" s="24" t="s">
        <v>23</v>
      </c>
      <c r="F679" s="24" t="s">
        <v>23</v>
      </c>
      <c r="G679" s="24" t="s">
        <v>23</v>
      </c>
      <c r="H679" s="24">
        <v>13.9</v>
      </c>
      <c r="I679" s="24">
        <v>6.38</v>
      </c>
      <c r="J679" s="25">
        <v>0</v>
      </c>
      <c r="K679" s="25">
        <v>0</v>
      </c>
      <c r="L679" s="25">
        <v>19</v>
      </c>
      <c r="M679" s="18">
        <f t="shared" si="52"/>
        <v>420</v>
      </c>
      <c r="N679" s="19">
        <f t="shared" si="53"/>
        <v>45820</v>
      </c>
      <c r="O679" s="18" t="b">
        <f t="shared" si="51"/>
        <v>0</v>
      </c>
      <c r="P679" s="43" t="str">
        <f>IF(O679,swap_curve!$B$19,"")</f>
        <v/>
      </c>
      <c r="Q679" t="str">
        <f t="shared" si="54"/>
        <v/>
      </c>
      <c r="R679" t="str" cm="1">
        <f t="array" ref="R679">IF(O679,BSCall(swap_curve!$B$20,imvol!M679,imvol!P679,imvol!Q679,YEARFRAC(swap_curve!$C$1,imvol!N679)),"")</f>
        <v/>
      </c>
      <c r="S679" s="20" t="str">
        <f t="shared" si="50"/>
        <v/>
      </c>
    </row>
    <row r="680" spans="1:19" x14ac:dyDescent="0.3">
      <c r="A680" s="23" t="s">
        <v>568</v>
      </c>
      <c r="B680" s="23" t="s">
        <v>569</v>
      </c>
      <c r="C680" s="24" t="s">
        <v>23</v>
      </c>
      <c r="D680" s="24" t="s">
        <v>23</v>
      </c>
      <c r="E680" s="24" t="s">
        <v>23</v>
      </c>
      <c r="F680" s="24" t="s">
        <v>23</v>
      </c>
      <c r="G680" s="24" t="s">
        <v>23</v>
      </c>
      <c r="H680" s="24">
        <v>13.9</v>
      </c>
      <c r="I680" s="24">
        <v>4.7300000000000004</v>
      </c>
      <c r="J680" s="25">
        <v>300</v>
      </c>
      <c r="K680" s="25">
        <v>338</v>
      </c>
      <c r="L680" s="25">
        <v>307</v>
      </c>
      <c r="M680" s="18">
        <f t="shared" si="52"/>
        <v>430</v>
      </c>
      <c r="N680" s="19">
        <f t="shared" si="53"/>
        <v>45820</v>
      </c>
      <c r="O680" s="18" t="b">
        <v>0</v>
      </c>
      <c r="P680" s="43" t="str">
        <f>IF(O680,swap_curve!$B$19,"")</f>
        <v/>
      </c>
      <c r="Q680" t="str">
        <f t="shared" si="54"/>
        <v/>
      </c>
      <c r="R680" t="str" cm="1">
        <f t="array" ref="R680">IF(O680,BSCall(swap_curve!$B$20,imvol!M680,imvol!P680,imvol!Q680,YEARFRAC(swap_curve!$C$1,imvol!N680)),"")</f>
        <v/>
      </c>
      <c r="S680" s="20" t="str">
        <f t="shared" si="50"/>
        <v/>
      </c>
    </row>
    <row r="681" spans="1:19" x14ac:dyDescent="0.3">
      <c r="A681" s="23" t="s">
        <v>570</v>
      </c>
      <c r="B681" s="23" t="s">
        <v>571</v>
      </c>
      <c r="C681" s="24" t="s">
        <v>23</v>
      </c>
      <c r="D681" s="24" t="s">
        <v>23</v>
      </c>
      <c r="E681" s="24" t="s">
        <v>23</v>
      </c>
      <c r="F681" s="24" t="s">
        <v>23</v>
      </c>
      <c r="G681" s="24" t="s">
        <v>23</v>
      </c>
      <c r="H681" s="24">
        <v>13.9</v>
      </c>
      <c r="I681" s="24">
        <v>3.58</v>
      </c>
      <c r="J681" s="25">
        <v>0</v>
      </c>
      <c r="K681" s="25">
        <v>0</v>
      </c>
      <c r="L681" s="25">
        <v>549</v>
      </c>
      <c r="M681" s="18">
        <f t="shared" si="52"/>
        <v>440</v>
      </c>
      <c r="N681" s="19">
        <f t="shared" si="53"/>
        <v>45820</v>
      </c>
      <c r="O681" s="18" t="b">
        <f t="shared" si="51"/>
        <v>0</v>
      </c>
      <c r="P681" s="43" t="str">
        <f>IF(O681,swap_curve!$B$19,"")</f>
        <v/>
      </c>
      <c r="Q681" t="str">
        <f t="shared" si="54"/>
        <v/>
      </c>
      <c r="R681" t="str" cm="1">
        <f t="array" ref="R681">IF(O681,BSCall(swap_curve!$B$20,imvol!M681,imvol!P681,imvol!Q681,YEARFRAC(swap_curve!$C$1,imvol!N681)),"")</f>
        <v/>
      </c>
      <c r="S681" s="20" t="str">
        <f t="shared" si="50"/>
        <v/>
      </c>
    </row>
    <row r="682" spans="1:19" x14ac:dyDescent="0.3">
      <c r="A682" s="23" t="s">
        <v>572</v>
      </c>
      <c r="B682" s="23" t="s">
        <v>573</v>
      </c>
      <c r="C682" s="24" t="s">
        <v>23</v>
      </c>
      <c r="D682" s="24" t="s">
        <v>23</v>
      </c>
      <c r="E682" s="24" t="s">
        <v>23</v>
      </c>
      <c r="F682" s="24" t="s">
        <v>23</v>
      </c>
      <c r="G682" s="24" t="s">
        <v>23</v>
      </c>
      <c r="H682" s="24">
        <v>13.9</v>
      </c>
      <c r="I682" s="24">
        <v>2.54</v>
      </c>
      <c r="J682" s="25">
        <v>0</v>
      </c>
      <c r="K682" s="25">
        <v>0</v>
      </c>
      <c r="L682" s="25">
        <v>33</v>
      </c>
      <c r="M682" s="18">
        <f t="shared" si="52"/>
        <v>450</v>
      </c>
      <c r="N682" s="19">
        <f t="shared" si="53"/>
        <v>45820</v>
      </c>
      <c r="O682" s="18" t="b">
        <f t="shared" si="51"/>
        <v>0</v>
      </c>
      <c r="P682" s="43" t="str">
        <f>IF(O682,swap_curve!$B$19,"")</f>
        <v/>
      </c>
      <c r="Q682" t="str">
        <f t="shared" si="54"/>
        <v/>
      </c>
      <c r="R682" t="str" cm="1">
        <f t="array" ref="R682">IF(O682,BSCall(swap_curve!$B$20,imvol!M682,imvol!P682,imvol!Q682,YEARFRAC(swap_curve!$C$1,imvol!N682)),"")</f>
        <v/>
      </c>
      <c r="S682" s="20" t="str">
        <f t="shared" si="50"/>
        <v/>
      </c>
    </row>
    <row r="683" spans="1:19" x14ac:dyDescent="0.3">
      <c r="A683" s="23" t="s">
        <v>574</v>
      </c>
      <c r="B683" s="23" t="s">
        <v>575</v>
      </c>
      <c r="C683" s="24" t="s">
        <v>23</v>
      </c>
      <c r="D683" s="24" t="s">
        <v>23</v>
      </c>
      <c r="E683" s="24" t="s">
        <v>23</v>
      </c>
      <c r="F683" s="24" t="s">
        <v>23</v>
      </c>
      <c r="G683" s="24" t="s">
        <v>23</v>
      </c>
      <c r="H683" s="24">
        <v>13.9</v>
      </c>
      <c r="I683" s="24">
        <v>1.91</v>
      </c>
      <c r="J683" s="25">
        <v>0</v>
      </c>
      <c r="K683" s="25">
        <v>0</v>
      </c>
      <c r="L683" s="25">
        <v>8</v>
      </c>
      <c r="M683" s="18">
        <f t="shared" si="52"/>
        <v>460</v>
      </c>
      <c r="N683" s="19">
        <f t="shared" si="53"/>
        <v>45820</v>
      </c>
      <c r="O683" s="18" t="b">
        <f t="shared" si="51"/>
        <v>0</v>
      </c>
      <c r="P683" s="43" t="str">
        <f>IF(O683,swap_curve!$B$19,"")</f>
        <v/>
      </c>
      <c r="Q683" t="str">
        <f t="shared" si="54"/>
        <v/>
      </c>
      <c r="R683" t="str" cm="1">
        <f t="array" ref="R683">IF(O683,BSCall(swap_curve!$B$20,imvol!M683,imvol!P683,imvol!Q683,YEARFRAC(swap_curve!$C$1,imvol!N683)),"")</f>
        <v/>
      </c>
      <c r="S683" s="20" t="str">
        <f t="shared" si="50"/>
        <v/>
      </c>
    </row>
    <row r="684" spans="1:19" x14ac:dyDescent="0.3">
      <c r="A684" s="23" t="s">
        <v>576</v>
      </c>
      <c r="B684" s="23" t="s">
        <v>577</v>
      </c>
      <c r="C684" s="24">
        <v>1.3</v>
      </c>
      <c r="D684" s="24">
        <v>0</v>
      </c>
      <c r="E684" s="24">
        <v>1.3</v>
      </c>
      <c r="F684" s="24">
        <v>1.3</v>
      </c>
      <c r="G684" s="24">
        <v>1.3</v>
      </c>
      <c r="H684" s="24">
        <v>13.9</v>
      </c>
      <c r="I684" s="24">
        <v>1.3</v>
      </c>
      <c r="J684" s="25">
        <v>1</v>
      </c>
      <c r="K684" s="25">
        <v>0</v>
      </c>
      <c r="L684" s="25">
        <v>246</v>
      </c>
      <c r="M684" s="18">
        <f t="shared" si="52"/>
        <v>470</v>
      </c>
      <c r="N684" s="19">
        <f t="shared" si="53"/>
        <v>45820</v>
      </c>
      <c r="O684" s="18" t="b">
        <f t="shared" si="51"/>
        <v>0</v>
      </c>
      <c r="P684" s="43" t="str">
        <f>IF(O684,swap_curve!$B$19,"")</f>
        <v/>
      </c>
      <c r="Q684" t="str">
        <f t="shared" si="54"/>
        <v/>
      </c>
      <c r="R684" t="str" cm="1">
        <f t="array" ref="R684">IF(O684,BSCall(swap_curve!$B$20,imvol!M684,imvol!P684,imvol!Q684,YEARFRAC(swap_curve!$C$1,imvol!N684)),"")</f>
        <v/>
      </c>
      <c r="S684" s="20" t="str">
        <f t="shared" si="50"/>
        <v/>
      </c>
    </row>
    <row r="685" spans="1:19" x14ac:dyDescent="0.3">
      <c r="A685" s="23" t="s">
        <v>1504</v>
      </c>
      <c r="B685" s="23" t="s">
        <v>1505</v>
      </c>
      <c r="C685" s="24" t="s">
        <v>23</v>
      </c>
      <c r="D685" s="24" t="s">
        <v>23</v>
      </c>
      <c r="E685" s="24" t="s">
        <v>23</v>
      </c>
      <c r="F685" s="24" t="s">
        <v>23</v>
      </c>
      <c r="G685" s="24" t="s">
        <v>23</v>
      </c>
      <c r="H685" s="24">
        <v>13.9</v>
      </c>
      <c r="I685" s="24">
        <v>0.98</v>
      </c>
      <c r="J685" s="25">
        <v>0</v>
      </c>
      <c r="K685" s="25">
        <v>0</v>
      </c>
      <c r="L685" s="25">
        <v>107</v>
      </c>
      <c r="M685" s="18">
        <f t="shared" si="52"/>
        <v>480</v>
      </c>
      <c r="N685" s="19">
        <f t="shared" si="53"/>
        <v>45820</v>
      </c>
      <c r="O685" s="18" t="b">
        <f t="shared" si="51"/>
        <v>0</v>
      </c>
      <c r="P685" s="43" t="str">
        <f>IF(O685,swap_curve!$B$19,"")</f>
        <v/>
      </c>
      <c r="Q685" t="str">
        <f t="shared" si="54"/>
        <v/>
      </c>
      <c r="R685" t="str" cm="1">
        <f t="array" ref="R685">IF(O685,BSCall(swap_curve!$B$20,imvol!M685,imvol!P685,imvol!Q685,YEARFRAC(swap_curve!$C$1,imvol!N685)),"")</f>
        <v/>
      </c>
      <c r="S685" s="20" t="str">
        <f t="shared" si="50"/>
        <v/>
      </c>
    </row>
    <row r="686" spans="1:19" x14ac:dyDescent="0.3">
      <c r="A686" s="23" t="s">
        <v>1506</v>
      </c>
      <c r="B686" s="23" t="s">
        <v>1507</v>
      </c>
      <c r="C686" s="24" t="s">
        <v>23</v>
      </c>
      <c r="D686" s="24" t="s">
        <v>23</v>
      </c>
      <c r="E686" s="24" t="s">
        <v>23</v>
      </c>
      <c r="F686" s="24" t="s">
        <v>23</v>
      </c>
      <c r="G686" s="24" t="s">
        <v>23</v>
      </c>
      <c r="H686" s="24">
        <v>13.9</v>
      </c>
      <c r="I686" s="24">
        <v>0.65</v>
      </c>
      <c r="J686" s="25">
        <v>0</v>
      </c>
      <c r="K686" s="25">
        <v>0</v>
      </c>
      <c r="L686" s="25">
        <v>112</v>
      </c>
      <c r="M686" s="18">
        <f t="shared" si="52"/>
        <v>490</v>
      </c>
      <c r="N686" s="19">
        <f t="shared" si="53"/>
        <v>45820</v>
      </c>
      <c r="O686" s="18" t="b">
        <f t="shared" si="51"/>
        <v>0</v>
      </c>
      <c r="P686" s="43" t="str">
        <f>IF(O686,swap_curve!$B$19,"")</f>
        <v/>
      </c>
      <c r="Q686" t="str">
        <f t="shared" si="54"/>
        <v/>
      </c>
      <c r="R686" t="str" cm="1">
        <f t="array" ref="R686">IF(O686,BSCall(swap_curve!$B$20,imvol!M686,imvol!P686,imvol!Q686,YEARFRAC(swap_curve!$C$1,imvol!N686)),"")</f>
        <v/>
      </c>
      <c r="S686" s="20" t="str">
        <f t="shared" si="50"/>
        <v/>
      </c>
    </row>
    <row r="687" spans="1:19" x14ac:dyDescent="0.3">
      <c r="A687" s="23" t="s">
        <v>1508</v>
      </c>
      <c r="B687" s="23" t="s">
        <v>1509</v>
      </c>
      <c r="C687" s="24" t="s">
        <v>23</v>
      </c>
      <c r="D687" s="24" t="s">
        <v>23</v>
      </c>
      <c r="E687" s="24" t="s">
        <v>23</v>
      </c>
      <c r="F687" s="24" t="s">
        <v>23</v>
      </c>
      <c r="G687" s="24" t="s">
        <v>23</v>
      </c>
      <c r="H687" s="24">
        <v>13.9</v>
      </c>
      <c r="I687" s="24">
        <v>0.48</v>
      </c>
      <c r="J687" s="25">
        <v>0</v>
      </c>
      <c r="K687" s="25">
        <v>0</v>
      </c>
      <c r="L687" s="25">
        <v>45</v>
      </c>
      <c r="M687" s="18">
        <f t="shared" si="52"/>
        <v>500</v>
      </c>
      <c r="N687" s="19">
        <f t="shared" si="53"/>
        <v>45820</v>
      </c>
      <c r="O687" s="18" t="b">
        <f t="shared" si="51"/>
        <v>0</v>
      </c>
      <c r="P687" s="43" t="str">
        <f>IF(O687,swap_curve!$B$19,"")</f>
        <v/>
      </c>
      <c r="Q687" t="str">
        <f t="shared" si="54"/>
        <v/>
      </c>
      <c r="R687" t="str" cm="1">
        <f t="array" ref="R687">IF(O687,BSCall(swap_curve!$B$20,imvol!M687,imvol!P687,imvol!Q687,YEARFRAC(swap_curve!$C$1,imvol!N687)),"")</f>
        <v/>
      </c>
      <c r="S687" s="20" t="str">
        <f t="shared" si="50"/>
        <v/>
      </c>
    </row>
    <row r="688" spans="1:19" x14ac:dyDescent="0.3">
      <c r="A688" s="23" t="s">
        <v>578</v>
      </c>
      <c r="B688" s="23" t="s">
        <v>579</v>
      </c>
      <c r="C688" s="24" t="s">
        <v>23</v>
      </c>
      <c r="D688" s="24" t="s">
        <v>23</v>
      </c>
      <c r="E688" s="24" t="s">
        <v>23</v>
      </c>
      <c r="F688" s="24" t="s">
        <v>23</v>
      </c>
      <c r="G688" s="24" t="s">
        <v>23</v>
      </c>
      <c r="H688" s="24">
        <v>13</v>
      </c>
      <c r="I688" s="24">
        <v>194.8</v>
      </c>
      <c r="J688" s="25">
        <v>0</v>
      </c>
      <c r="K688" s="25">
        <v>0</v>
      </c>
      <c r="L688" s="25">
        <v>38</v>
      </c>
      <c r="M688" s="18">
        <f t="shared" si="52"/>
        <v>170</v>
      </c>
      <c r="N688" s="19">
        <f t="shared" si="53"/>
        <v>46002</v>
      </c>
      <c r="O688" s="18" t="b">
        <f t="shared" si="51"/>
        <v>0</v>
      </c>
      <c r="P688" s="43" t="str">
        <f>IF(O688,swap_curve!$B$19,"")</f>
        <v/>
      </c>
      <c r="Q688" t="str">
        <f t="shared" si="54"/>
        <v/>
      </c>
      <c r="R688" t="str" cm="1">
        <f t="array" ref="R688">IF(O688,BSCall(swap_curve!$B$20,imvol!M688,imvol!P688,imvol!Q688,YEARFRAC(swap_curve!$C$1,imvol!N688)),"")</f>
        <v/>
      </c>
      <c r="S688" s="20" t="str">
        <f t="shared" si="50"/>
        <v/>
      </c>
    </row>
    <row r="689" spans="1:19" x14ac:dyDescent="0.3">
      <c r="A689" s="23" t="s">
        <v>580</v>
      </c>
      <c r="B689" s="23" t="s">
        <v>581</v>
      </c>
      <c r="C689" s="24" t="s">
        <v>23</v>
      </c>
      <c r="D689" s="24" t="s">
        <v>23</v>
      </c>
      <c r="E689" s="24" t="s">
        <v>23</v>
      </c>
      <c r="F689" s="24" t="s">
        <v>23</v>
      </c>
      <c r="G689" s="24" t="s">
        <v>23</v>
      </c>
      <c r="H689" s="24">
        <v>13</v>
      </c>
      <c r="I689" s="24">
        <v>185.35</v>
      </c>
      <c r="J689" s="25">
        <v>0</v>
      </c>
      <c r="K689" s="25">
        <v>0</v>
      </c>
      <c r="L689" s="25">
        <v>0</v>
      </c>
      <c r="M689" s="18">
        <f t="shared" si="52"/>
        <v>180</v>
      </c>
      <c r="N689" s="19">
        <f t="shared" si="53"/>
        <v>46002</v>
      </c>
      <c r="O689" s="18" t="b">
        <f t="shared" si="51"/>
        <v>0</v>
      </c>
      <c r="P689" s="43" t="str">
        <f>IF(O689,swap_curve!$B$19,"")</f>
        <v/>
      </c>
      <c r="Q689" t="str">
        <f t="shared" si="54"/>
        <v/>
      </c>
      <c r="R689" t="str" cm="1">
        <f t="array" ref="R689">IF(O689,BSCall(swap_curve!$B$20,imvol!M689,imvol!P689,imvol!Q689,YEARFRAC(swap_curve!$C$1,imvol!N689)),"")</f>
        <v/>
      </c>
      <c r="S689" s="20" t="str">
        <f t="shared" si="50"/>
        <v/>
      </c>
    </row>
    <row r="690" spans="1:19" x14ac:dyDescent="0.3">
      <c r="A690" s="23" t="s">
        <v>582</v>
      </c>
      <c r="B690" s="23" t="s">
        <v>583</v>
      </c>
      <c r="C690" s="24" t="s">
        <v>23</v>
      </c>
      <c r="D690" s="24" t="s">
        <v>23</v>
      </c>
      <c r="E690" s="24" t="s">
        <v>23</v>
      </c>
      <c r="F690" s="24" t="s">
        <v>23</v>
      </c>
      <c r="G690" s="24" t="s">
        <v>23</v>
      </c>
      <c r="H690" s="24">
        <v>13</v>
      </c>
      <c r="I690" s="24">
        <v>175.95</v>
      </c>
      <c r="J690" s="25">
        <v>0</v>
      </c>
      <c r="K690" s="25">
        <v>0</v>
      </c>
      <c r="L690" s="25">
        <v>0</v>
      </c>
      <c r="M690" s="18">
        <f t="shared" si="52"/>
        <v>190</v>
      </c>
      <c r="N690" s="19">
        <f t="shared" si="53"/>
        <v>46002</v>
      </c>
      <c r="O690" s="18" t="b">
        <f t="shared" si="51"/>
        <v>0</v>
      </c>
      <c r="P690" s="43" t="str">
        <f>IF(O690,swap_curve!$B$19,"")</f>
        <v/>
      </c>
      <c r="Q690" t="str">
        <f t="shared" si="54"/>
        <v/>
      </c>
      <c r="R690" t="str" cm="1">
        <f t="array" ref="R690">IF(O690,BSCall(swap_curve!$B$20,imvol!M690,imvol!P690,imvol!Q690,YEARFRAC(swap_curve!$C$1,imvol!N690)),"")</f>
        <v/>
      </c>
      <c r="S690" s="20" t="str">
        <f t="shared" si="50"/>
        <v/>
      </c>
    </row>
    <row r="691" spans="1:19" x14ac:dyDescent="0.3">
      <c r="A691" s="23" t="s">
        <v>584</v>
      </c>
      <c r="B691" s="23" t="s">
        <v>585</v>
      </c>
      <c r="C691" s="24" t="s">
        <v>23</v>
      </c>
      <c r="D691" s="24" t="s">
        <v>23</v>
      </c>
      <c r="E691" s="24" t="s">
        <v>23</v>
      </c>
      <c r="F691" s="24" t="s">
        <v>23</v>
      </c>
      <c r="G691" s="24" t="s">
        <v>23</v>
      </c>
      <c r="H691" s="24">
        <v>13</v>
      </c>
      <c r="I691" s="24">
        <v>166.5</v>
      </c>
      <c r="J691" s="25">
        <v>0</v>
      </c>
      <c r="K691" s="25">
        <v>0</v>
      </c>
      <c r="L691" s="25">
        <v>0</v>
      </c>
      <c r="M691" s="18">
        <f t="shared" si="52"/>
        <v>200</v>
      </c>
      <c r="N691" s="19">
        <f t="shared" si="53"/>
        <v>46002</v>
      </c>
      <c r="O691" s="18" t="b">
        <f t="shared" si="51"/>
        <v>0</v>
      </c>
      <c r="P691" s="43" t="str">
        <f>IF(O691,swap_curve!$B$19,"")</f>
        <v/>
      </c>
      <c r="Q691" t="str">
        <f t="shared" si="54"/>
        <v/>
      </c>
      <c r="R691" t="str" cm="1">
        <f t="array" ref="R691">IF(O691,BSCall(swap_curve!$B$20,imvol!M691,imvol!P691,imvol!Q691,YEARFRAC(swap_curve!$C$1,imvol!N691)),"")</f>
        <v/>
      </c>
      <c r="S691" s="20" t="str">
        <f t="shared" si="50"/>
        <v/>
      </c>
    </row>
    <row r="692" spans="1:19" x14ac:dyDescent="0.3">
      <c r="A692" s="23" t="s">
        <v>586</v>
      </c>
      <c r="B692" s="23" t="s">
        <v>587</v>
      </c>
      <c r="C692" s="24" t="s">
        <v>23</v>
      </c>
      <c r="D692" s="24" t="s">
        <v>23</v>
      </c>
      <c r="E692" s="24" t="s">
        <v>23</v>
      </c>
      <c r="F692" s="24" t="s">
        <v>23</v>
      </c>
      <c r="G692" s="24" t="s">
        <v>23</v>
      </c>
      <c r="H692" s="24">
        <v>13</v>
      </c>
      <c r="I692" s="24">
        <v>157.05000000000001</v>
      </c>
      <c r="J692" s="25">
        <v>0</v>
      </c>
      <c r="K692" s="25">
        <v>0</v>
      </c>
      <c r="L692" s="25">
        <v>0</v>
      </c>
      <c r="M692" s="18">
        <f t="shared" si="52"/>
        <v>210</v>
      </c>
      <c r="N692" s="19">
        <f t="shared" si="53"/>
        <v>46002</v>
      </c>
      <c r="O692" s="18" t="b">
        <f t="shared" si="51"/>
        <v>0</v>
      </c>
      <c r="P692" s="43" t="str">
        <f>IF(O692,swap_curve!$B$19,"")</f>
        <v/>
      </c>
      <c r="Q692" t="str">
        <f t="shared" si="54"/>
        <v/>
      </c>
      <c r="R692" t="str" cm="1">
        <f t="array" ref="R692">IF(O692,BSCall(swap_curve!$B$20,imvol!M692,imvol!P692,imvol!Q692,YEARFRAC(swap_curve!$C$1,imvol!N692)),"")</f>
        <v/>
      </c>
      <c r="S692" s="20" t="str">
        <f t="shared" si="50"/>
        <v/>
      </c>
    </row>
    <row r="693" spans="1:19" x14ac:dyDescent="0.3">
      <c r="A693" s="23" t="s">
        <v>588</v>
      </c>
      <c r="B693" s="23" t="s">
        <v>589</v>
      </c>
      <c r="C693" s="24" t="s">
        <v>23</v>
      </c>
      <c r="D693" s="24" t="s">
        <v>23</v>
      </c>
      <c r="E693" s="24" t="s">
        <v>23</v>
      </c>
      <c r="F693" s="24" t="s">
        <v>23</v>
      </c>
      <c r="G693" s="24" t="s">
        <v>23</v>
      </c>
      <c r="H693" s="24">
        <v>13</v>
      </c>
      <c r="I693" s="24">
        <v>147.6</v>
      </c>
      <c r="J693" s="25">
        <v>0</v>
      </c>
      <c r="K693" s="25">
        <v>0</v>
      </c>
      <c r="L693" s="25">
        <v>0</v>
      </c>
      <c r="M693" s="18">
        <f t="shared" si="52"/>
        <v>220</v>
      </c>
      <c r="N693" s="19">
        <f t="shared" si="53"/>
        <v>46002</v>
      </c>
      <c r="O693" s="18" t="b">
        <f t="shared" si="51"/>
        <v>0</v>
      </c>
      <c r="P693" s="43" t="str">
        <f>IF(O693,swap_curve!$B$19,"")</f>
        <v/>
      </c>
      <c r="Q693" t="str">
        <f t="shared" si="54"/>
        <v/>
      </c>
      <c r="R693" t="str" cm="1">
        <f t="array" ref="R693">IF(O693,BSCall(swap_curve!$B$20,imvol!M693,imvol!P693,imvol!Q693,YEARFRAC(swap_curve!$C$1,imvol!N693)),"")</f>
        <v/>
      </c>
      <c r="S693" s="20" t="str">
        <f t="shared" si="50"/>
        <v/>
      </c>
    </row>
    <row r="694" spans="1:19" x14ac:dyDescent="0.3">
      <c r="A694" s="23" t="s">
        <v>590</v>
      </c>
      <c r="B694" s="23" t="s">
        <v>591</v>
      </c>
      <c r="C694" s="24" t="s">
        <v>23</v>
      </c>
      <c r="D694" s="24" t="s">
        <v>23</v>
      </c>
      <c r="E694" s="24" t="s">
        <v>23</v>
      </c>
      <c r="F694" s="24" t="s">
        <v>23</v>
      </c>
      <c r="G694" s="24" t="s">
        <v>23</v>
      </c>
      <c r="H694" s="24">
        <v>13</v>
      </c>
      <c r="I694" s="24">
        <v>138.19999999999999</v>
      </c>
      <c r="J694" s="25">
        <v>0</v>
      </c>
      <c r="K694" s="25">
        <v>0</v>
      </c>
      <c r="L694" s="25">
        <v>0</v>
      </c>
      <c r="M694" s="18">
        <f t="shared" si="52"/>
        <v>230</v>
      </c>
      <c r="N694" s="19">
        <f t="shared" si="53"/>
        <v>46002</v>
      </c>
      <c r="O694" s="18" t="b">
        <f t="shared" si="51"/>
        <v>0</v>
      </c>
      <c r="P694" s="43" t="str">
        <f>IF(O694,swap_curve!$B$19,"")</f>
        <v/>
      </c>
      <c r="Q694" t="str">
        <f t="shared" si="54"/>
        <v/>
      </c>
      <c r="R694" t="str" cm="1">
        <f t="array" ref="R694">IF(O694,BSCall(swap_curve!$B$20,imvol!M694,imvol!P694,imvol!Q694,YEARFRAC(swap_curve!$C$1,imvol!N694)),"")</f>
        <v/>
      </c>
      <c r="S694" s="20" t="str">
        <f t="shared" si="50"/>
        <v/>
      </c>
    </row>
    <row r="695" spans="1:19" x14ac:dyDescent="0.3">
      <c r="A695" s="23" t="s">
        <v>592</v>
      </c>
      <c r="B695" s="23" t="s">
        <v>593</v>
      </c>
      <c r="C695" s="24" t="s">
        <v>23</v>
      </c>
      <c r="D695" s="24" t="s">
        <v>23</v>
      </c>
      <c r="E695" s="24" t="s">
        <v>23</v>
      </c>
      <c r="F695" s="24" t="s">
        <v>23</v>
      </c>
      <c r="G695" s="24" t="s">
        <v>23</v>
      </c>
      <c r="H695" s="24">
        <v>13</v>
      </c>
      <c r="I695" s="24">
        <v>128.80000000000001</v>
      </c>
      <c r="J695" s="25">
        <v>0</v>
      </c>
      <c r="K695" s="25">
        <v>0</v>
      </c>
      <c r="L695" s="25">
        <v>0</v>
      </c>
      <c r="M695" s="18">
        <f t="shared" si="52"/>
        <v>240</v>
      </c>
      <c r="N695" s="19">
        <f t="shared" si="53"/>
        <v>46002</v>
      </c>
      <c r="O695" s="18" t="b">
        <f t="shared" si="51"/>
        <v>0</v>
      </c>
      <c r="P695" s="43" t="str">
        <f>IF(O695,swap_curve!$B$19,"")</f>
        <v/>
      </c>
      <c r="Q695" t="str">
        <f t="shared" si="54"/>
        <v/>
      </c>
      <c r="R695" t="str" cm="1">
        <f t="array" ref="R695">IF(O695,BSCall(swap_curve!$B$20,imvol!M695,imvol!P695,imvol!Q695,YEARFRAC(swap_curve!$C$1,imvol!N695)),"")</f>
        <v/>
      </c>
      <c r="S695" s="20" t="str">
        <f t="shared" si="50"/>
        <v/>
      </c>
    </row>
    <row r="696" spans="1:19" x14ac:dyDescent="0.3">
      <c r="A696" s="23" t="s">
        <v>594</v>
      </c>
      <c r="B696" s="23" t="s">
        <v>595</v>
      </c>
      <c r="C696" s="24" t="s">
        <v>23</v>
      </c>
      <c r="D696" s="24" t="s">
        <v>23</v>
      </c>
      <c r="E696" s="24" t="s">
        <v>23</v>
      </c>
      <c r="F696" s="24" t="s">
        <v>23</v>
      </c>
      <c r="G696" s="24" t="s">
        <v>23</v>
      </c>
      <c r="H696" s="24">
        <v>13</v>
      </c>
      <c r="I696" s="24">
        <v>119.4</v>
      </c>
      <c r="J696" s="25">
        <v>0</v>
      </c>
      <c r="K696" s="25">
        <v>0</v>
      </c>
      <c r="L696" s="25">
        <v>0</v>
      </c>
      <c r="M696" s="18">
        <f t="shared" si="52"/>
        <v>250</v>
      </c>
      <c r="N696" s="19">
        <f t="shared" si="53"/>
        <v>46002</v>
      </c>
      <c r="O696" s="18" t="b">
        <f t="shared" si="51"/>
        <v>0</v>
      </c>
      <c r="P696" s="43" t="str">
        <f>IF(O696,swap_curve!$B$19,"")</f>
        <v/>
      </c>
      <c r="Q696" t="str">
        <f t="shared" si="54"/>
        <v/>
      </c>
      <c r="R696" t="str" cm="1">
        <f t="array" ref="R696">IF(O696,BSCall(swap_curve!$B$20,imvol!M696,imvol!P696,imvol!Q696,YEARFRAC(swap_curve!$C$1,imvol!N696)),"")</f>
        <v/>
      </c>
      <c r="S696" s="20" t="str">
        <f t="shared" si="50"/>
        <v/>
      </c>
    </row>
    <row r="697" spans="1:19" x14ac:dyDescent="0.3">
      <c r="A697" s="23" t="s">
        <v>596</v>
      </c>
      <c r="B697" s="23" t="s">
        <v>597</v>
      </c>
      <c r="C697" s="24" t="s">
        <v>23</v>
      </c>
      <c r="D697" s="24" t="s">
        <v>23</v>
      </c>
      <c r="E697" s="24" t="s">
        <v>23</v>
      </c>
      <c r="F697" s="24" t="s">
        <v>23</v>
      </c>
      <c r="G697" s="24" t="s">
        <v>23</v>
      </c>
      <c r="H697" s="24">
        <v>13</v>
      </c>
      <c r="I697" s="24">
        <v>110.05</v>
      </c>
      <c r="J697" s="25">
        <v>0</v>
      </c>
      <c r="K697" s="25">
        <v>0</v>
      </c>
      <c r="L697" s="25">
        <v>0</v>
      </c>
      <c r="M697" s="18">
        <f t="shared" si="52"/>
        <v>260</v>
      </c>
      <c r="N697" s="19">
        <f t="shared" si="53"/>
        <v>46002</v>
      </c>
      <c r="O697" s="18" t="b">
        <f t="shared" si="51"/>
        <v>0</v>
      </c>
      <c r="P697" s="43" t="str">
        <f>IF(O697,swap_curve!$B$19,"")</f>
        <v/>
      </c>
      <c r="Q697" t="str">
        <f t="shared" si="54"/>
        <v/>
      </c>
      <c r="R697" t="str" cm="1">
        <f t="array" ref="R697">IF(O697,BSCall(swap_curve!$B$20,imvol!M697,imvol!P697,imvol!Q697,YEARFRAC(swap_curve!$C$1,imvol!N697)),"")</f>
        <v/>
      </c>
      <c r="S697" s="20" t="str">
        <f t="shared" si="50"/>
        <v/>
      </c>
    </row>
    <row r="698" spans="1:19" x14ac:dyDescent="0.3">
      <c r="A698" s="23" t="s">
        <v>598</v>
      </c>
      <c r="B698" s="23" t="s">
        <v>599</v>
      </c>
      <c r="C698" s="24" t="s">
        <v>23</v>
      </c>
      <c r="D698" s="24" t="s">
        <v>23</v>
      </c>
      <c r="E698" s="24" t="s">
        <v>23</v>
      </c>
      <c r="F698" s="24" t="s">
        <v>23</v>
      </c>
      <c r="G698" s="24" t="s">
        <v>23</v>
      </c>
      <c r="H698" s="24">
        <v>13</v>
      </c>
      <c r="I698" s="24">
        <v>100.85</v>
      </c>
      <c r="J698" s="25">
        <v>0</v>
      </c>
      <c r="K698" s="25">
        <v>0</v>
      </c>
      <c r="L698" s="25">
        <v>0</v>
      </c>
      <c r="M698" s="18">
        <f t="shared" si="52"/>
        <v>270</v>
      </c>
      <c r="N698" s="19">
        <f t="shared" si="53"/>
        <v>46002</v>
      </c>
      <c r="O698" s="18" t="b">
        <f t="shared" si="51"/>
        <v>0</v>
      </c>
      <c r="P698" s="43" t="str">
        <f>IF(O698,swap_curve!$B$19,"")</f>
        <v/>
      </c>
      <c r="Q698" t="str">
        <f t="shared" si="54"/>
        <v/>
      </c>
      <c r="R698" t="str" cm="1">
        <f t="array" ref="R698">IF(O698,BSCall(swap_curve!$B$20,imvol!M698,imvol!P698,imvol!Q698,YEARFRAC(swap_curve!$C$1,imvol!N698)),"")</f>
        <v/>
      </c>
      <c r="S698" s="20" t="str">
        <f t="shared" si="50"/>
        <v/>
      </c>
    </row>
    <row r="699" spans="1:19" x14ac:dyDescent="0.3">
      <c r="A699" s="23" t="s">
        <v>600</v>
      </c>
      <c r="B699" s="23" t="s">
        <v>601</v>
      </c>
      <c r="C699" s="24" t="s">
        <v>23</v>
      </c>
      <c r="D699" s="24" t="s">
        <v>23</v>
      </c>
      <c r="E699" s="24" t="s">
        <v>23</v>
      </c>
      <c r="F699" s="24" t="s">
        <v>23</v>
      </c>
      <c r="G699" s="24" t="s">
        <v>23</v>
      </c>
      <c r="H699" s="24">
        <v>13</v>
      </c>
      <c r="I699" s="24">
        <v>91.75</v>
      </c>
      <c r="J699" s="25">
        <v>0</v>
      </c>
      <c r="K699" s="25">
        <v>0</v>
      </c>
      <c r="L699" s="25">
        <v>0</v>
      </c>
      <c r="M699" s="18">
        <f t="shared" si="52"/>
        <v>280</v>
      </c>
      <c r="N699" s="19">
        <f t="shared" si="53"/>
        <v>46002</v>
      </c>
      <c r="O699" s="18" t="b">
        <f t="shared" si="51"/>
        <v>0</v>
      </c>
      <c r="P699" s="43" t="str">
        <f>IF(O699,swap_curve!$B$19,"")</f>
        <v/>
      </c>
      <c r="Q699" t="str">
        <f t="shared" si="54"/>
        <v/>
      </c>
      <c r="R699" t="str" cm="1">
        <f t="array" ref="R699">IF(O699,BSCall(swap_curve!$B$20,imvol!M699,imvol!P699,imvol!Q699,YEARFRAC(swap_curve!$C$1,imvol!N699)),"")</f>
        <v/>
      </c>
      <c r="S699" s="20" t="str">
        <f t="shared" si="50"/>
        <v/>
      </c>
    </row>
    <row r="700" spans="1:19" x14ac:dyDescent="0.3">
      <c r="A700" s="23" t="s">
        <v>602</v>
      </c>
      <c r="B700" s="23" t="s">
        <v>603</v>
      </c>
      <c r="C700" s="24" t="s">
        <v>23</v>
      </c>
      <c r="D700" s="24" t="s">
        <v>23</v>
      </c>
      <c r="E700" s="24" t="s">
        <v>23</v>
      </c>
      <c r="F700" s="24" t="s">
        <v>23</v>
      </c>
      <c r="G700" s="24" t="s">
        <v>23</v>
      </c>
      <c r="H700" s="24">
        <v>13</v>
      </c>
      <c r="I700" s="24">
        <v>82.8</v>
      </c>
      <c r="J700" s="25">
        <v>0</v>
      </c>
      <c r="K700" s="25">
        <v>0</v>
      </c>
      <c r="L700" s="25">
        <v>0</v>
      </c>
      <c r="M700" s="18">
        <f t="shared" si="52"/>
        <v>290</v>
      </c>
      <c r="N700" s="19">
        <f t="shared" si="53"/>
        <v>46002</v>
      </c>
      <c r="O700" s="18" t="b">
        <f t="shared" si="51"/>
        <v>0</v>
      </c>
      <c r="P700" s="43" t="str">
        <f>IF(O700,swap_curve!$B$19,"")</f>
        <v/>
      </c>
      <c r="Q700" t="str">
        <f t="shared" si="54"/>
        <v/>
      </c>
      <c r="R700" t="str" cm="1">
        <f t="array" ref="R700">IF(O700,BSCall(swap_curve!$B$20,imvol!M700,imvol!P700,imvol!Q700,YEARFRAC(swap_curve!$C$1,imvol!N700)),"")</f>
        <v/>
      </c>
      <c r="S700" s="20" t="str">
        <f t="shared" si="50"/>
        <v/>
      </c>
    </row>
    <row r="701" spans="1:19" x14ac:dyDescent="0.3">
      <c r="A701" s="23" t="s">
        <v>604</v>
      </c>
      <c r="B701" s="23" t="s">
        <v>605</v>
      </c>
      <c r="C701" s="24" t="s">
        <v>23</v>
      </c>
      <c r="D701" s="24" t="s">
        <v>23</v>
      </c>
      <c r="E701" s="24" t="s">
        <v>23</v>
      </c>
      <c r="F701" s="24" t="s">
        <v>23</v>
      </c>
      <c r="G701" s="24" t="s">
        <v>23</v>
      </c>
      <c r="H701" s="24">
        <v>13</v>
      </c>
      <c r="I701" s="24">
        <v>74.099999999999994</v>
      </c>
      <c r="J701" s="25">
        <v>0</v>
      </c>
      <c r="K701" s="25">
        <v>0</v>
      </c>
      <c r="L701" s="25">
        <v>0</v>
      </c>
      <c r="M701" s="18">
        <f t="shared" si="52"/>
        <v>300</v>
      </c>
      <c r="N701" s="19">
        <f t="shared" si="53"/>
        <v>46002</v>
      </c>
      <c r="O701" s="18" t="b">
        <f t="shared" si="51"/>
        <v>0</v>
      </c>
      <c r="P701" s="43" t="str">
        <f>IF(O701,swap_curve!$B$19,"")</f>
        <v/>
      </c>
      <c r="Q701" t="str">
        <f t="shared" si="54"/>
        <v/>
      </c>
      <c r="R701" t="str" cm="1">
        <f t="array" ref="R701">IF(O701,BSCall(swap_curve!$B$20,imvol!M701,imvol!P701,imvol!Q701,YEARFRAC(swap_curve!$C$1,imvol!N701)),"")</f>
        <v/>
      </c>
      <c r="S701" s="20" t="str">
        <f t="shared" si="50"/>
        <v/>
      </c>
    </row>
    <row r="702" spans="1:19" x14ac:dyDescent="0.3">
      <c r="A702" s="23" t="s">
        <v>606</v>
      </c>
      <c r="B702" s="23" t="s">
        <v>607</v>
      </c>
      <c r="C702" s="24" t="s">
        <v>23</v>
      </c>
      <c r="D702" s="24" t="s">
        <v>23</v>
      </c>
      <c r="E702" s="24" t="s">
        <v>23</v>
      </c>
      <c r="F702" s="24" t="s">
        <v>23</v>
      </c>
      <c r="G702" s="24" t="s">
        <v>23</v>
      </c>
      <c r="H702" s="24">
        <v>13</v>
      </c>
      <c r="I702" s="24">
        <v>65.849999999999994</v>
      </c>
      <c r="J702" s="25">
        <v>0</v>
      </c>
      <c r="K702" s="25">
        <v>0</v>
      </c>
      <c r="L702" s="25">
        <v>0</v>
      </c>
      <c r="M702" s="18">
        <f t="shared" si="52"/>
        <v>310</v>
      </c>
      <c r="N702" s="19">
        <f t="shared" si="53"/>
        <v>46002</v>
      </c>
      <c r="O702" s="18" t="b">
        <f t="shared" si="51"/>
        <v>0</v>
      </c>
      <c r="P702" s="43" t="str">
        <f>IF(O702,swap_curve!$B$19,"")</f>
        <v/>
      </c>
      <c r="Q702" t="str">
        <f t="shared" si="54"/>
        <v/>
      </c>
      <c r="R702" t="str" cm="1">
        <f t="array" ref="R702">IF(O702,BSCall(swap_curve!$B$20,imvol!M702,imvol!P702,imvol!Q702,YEARFRAC(swap_curve!$C$1,imvol!N702)),"")</f>
        <v/>
      </c>
      <c r="S702" s="20" t="str">
        <f t="shared" si="50"/>
        <v/>
      </c>
    </row>
    <row r="703" spans="1:19" x14ac:dyDescent="0.3">
      <c r="A703" s="23" t="s">
        <v>608</v>
      </c>
      <c r="B703" s="23" t="s">
        <v>609</v>
      </c>
      <c r="C703" s="24">
        <v>57.5</v>
      </c>
      <c r="D703" s="24">
        <v>2</v>
      </c>
      <c r="E703" s="24">
        <v>57.5</v>
      </c>
      <c r="F703" s="24">
        <v>57.5</v>
      </c>
      <c r="G703" s="24">
        <v>57.5</v>
      </c>
      <c r="H703" s="24">
        <v>13</v>
      </c>
      <c r="I703" s="24">
        <v>57.5</v>
      </c>
      <c r="J703" s="25">
        <v>1</v>
      </c>
      <c r="K703" s="25">
        <v>14</v>
      </c>
      <c r="L703" s="25">
        <v>249</v>
      </c>
      <c r="M703" s="18">
        <f t="shared" si="52"/>
        <v>320</v>
      </c>
      <c r="N703" s="19">
        <f t="shared" si="53"/>
        <v>46002</v>
      </c>
      <c r="O703" s="18" t="b">
        <f t="shared" si="51"/>
        <v>0</v>
      </c>
      <c r="P703" s="43" t="str">
        <f>IF(O703,swap_curve!$B$19,"")</f>
        <v/>
      </c>
      <c r="Q703" t="str">
        <f t="shared" si="54"/>
        <v/>
      </c>
      <c r="R703" t="str" cm="1">
        <f t="array" ref="R703">IF(O703,BSCall(swap_curve!$B$20,imvol!M703,imvol!P703,imvol!Q703,YEARFRAC(swap_curve!$C$1,imvol!N703)),"")</f>
        <v/>
      </c>
      <c r="S703" s="20" t="str">
        <f t="shared" ref="S703:S751" si="55">IF(O703,R703-C703,"")</f>
        <v/>
      </c>
    </row>
    <row r="704" spans="1:19" x14ac:dyDescent="0.3">
      <c r="A704" s="23" t="s">
        <v>610</v>
      </c>
      <c r="B704" s="23" t="s">
        <v>611</v>
      </c>
      <c r="C704" s="24" t="s">
        <v>23</v>
      </c>
      <c r="D704" s="24" t="s">
        <v>23</v>
      </c>
      <c r="E704" s="24" t="s">
        <v>23</v>
      </c>
      <c r="F704" s="24" t="s">
        <v>23</v>
      </c>
      <c r="G704" s="24" t="s">
        <v>23</v>
      </c>
      <c r="H704" s="24">
        <v>13.18</v>
      </c>
      <c r="I704" s="24">
        <v>50.6</v>
      </c>
      <c r="J704" s="25">
        <v>0</v>
      </c>
      <c r="K704" s="25">
        <v>0</v>
      </c>
      <c r="L704" s="25">
        <v>1963</v>
      </c>
      <c r="M704" s="18">
        <f t="shared" si="52"/>
        <v>330</v>
      </c>
      <c r="N704" s="19">
        <f t="shared" si="53"/>
        <v>46002</v>
      </c>
      <c r="O704" s="18" t="b">
        <f t="shared" si="51"/>
        <v>0</v>
      </c>
      <c r="P704" s="43" t="str">
        <f>IF(O704,swap_curve!$B$19,"")</f>
        <v/>
      </c>
      <c r="Q704" t="str">
        <f t="shared" si="54"/>
        <v/>
      </c>
      <c r="R704" t="str" cm="1">
        <f t="array" ref="R704">IF(O704,BSCall(swap_curve!$B$20,imvol!M704,imvol!P704,imvol!Q704,YEARFRAC(swap_curve!$C$1,imvol!N704)),"")</f>
        <v/>
      </c>
      <c r="S704" s="20" t="str">
        <f t="shared" si="55"/>
        <v/>
      </c>
    </row>
    <row r="705" spans="1:19" x14ac:dyDescent="0.3">
      <c r="A705" s="23" t="s">
        <v>612</v>
      </c>
      <c r="B705" s="23" t="s">
        <v>613</v>
      </c>
      <c r="C705" s="24" t="s">
        <v>23</v>
      </c>
      <c r="D705" s="24" t="s">
        <v>23</v>
      </c>
      <c r="E705" s="24" t="s">
        <v>23</v>
      </c>
      <c r="F705" s="24" t="s">
        <v>23</v>
      </c>
      <c r="G705" s="24" t="s">
        <v>23</v>
      </c>
      <c r="H705" s="24">
        <v>13.37</v>
      </c>
      <c r="I705" s="24">
        <v>44.15</v>
      </c>
      <c r="J705" s="25">
        <v>0</v>
      </c>
      <c r="K705" s="25">
        <v>0</v>
      </c>
      <c r="L705" s="25">
        <v>1004</v>
      </c>
      <c r="M705" s="18">
        <f t="shared" si="52"/>
        <v>340</v>
      </c>
      <c r="N705" s="19">
        <f t="shared" si="53"/>
        <v>46002</v>
      </c>
      <c r="O705" s="18" t="b">
        <f t="shared" si="51"/>
        <v>0</v>
      </c>
      <c r="P705" s="43" t="str">
        <f>IF(O705,swap_curve!$B$19,"")</f>
        <v/>
      </c>
      <c r="Q705" t="str">
        <f t="shared" si="54"/>
        <v/>
      </c>
      <c r="R705" t="str" cm="1">
        <f t="array" ref="R705">IF(O705,BSCall(swap_curve!$B$20,imvol!M705,imvol!P705,imvol!Q705,YEARFRAC(swap_curve!$C$1,imvol!N705)),"")</f>
        <v/>
      </c>
      <c r="S705" s="20" t="str">
        <f t="shared" si="55"/>
        <v/>
      </c>
    </row>
    <row r="706" spans="1:19" x14ac:dyDescent="0.3">
      <c r="A706" s="23" t="s">
        <v>614</v>
      </c>
      <c r="B706" s="23" t="s">
        <v>615</v>
      </c>
      <c r="C706" s="24" t="s">
        <v>23</v>
      </c>
      <c r="D706" s="24" t="s">
        <v>23</v>
      </c>
      <c r="E706" s="24" t="s">
        <v>23</v>
      </c>
      <c r="F706" s="24" t="s">
        <v>23</v>
      </c>
      <c r="G706" s="24" t="s">
        <v>23</v>
      </c>
      <c r="H706" s="24">
        <v>13.56</v>
      </c>
      <c r="I706" s="24">
        <v>38.1</v>
      </c>
      <c r="J706" s="25">
        <v>0</v>
      </c>
      <c r="K706" s="25">
        <v>0</v>
      </c>
      <c r="L706" s="25">
        <v>508</v>
      </c>
      <c r="M706" s="18">
        <f t="shared" si="52"/>
        <v>350</v>
      </c>
      <c r="N706" s="19">
        <f t="shared" si="53"/>
        <v>46002</v>
      </c>
      <c r="O706" s="18" t="b">
        <f t="shared" ref="O706:O730" si="56">IF(J706&gt;100, TRUE,FALSE)</f>
        <v>0</v>
      </c>
      <c r="P706" s="43" t="str">
        <f>IF(O706,swap_curve!$B$19,"")</f>
        <v/>
      </c>
      <c r="Q706" t="str">
        <f t="shared" si="54"/>
        <v/>
      </c>
      <c r="R706" t="str" cm="1">
        <f t="array" ref="R706">IF(O706,BSCall(swap_curve!$B$20,imvol!M706,imvol!P706,imvol!Q706,YEARFRAC(swap_curve!$C$1,imvol!N706)),"")</f>
        <v/>
      </c>
      <c r="S706" s="20" t="str">
        <f t="shared" si="55"/>
        <v/>
      </c>
    </row>
    <row r="707" spans="1:19" x14ac:dyDescent="0.3">
      <c r="A707" s="23" t="s">
        <v>616</v>
      </c>
      <c r="B707" s="23" t="s">
        <v>617</v>
      </c>
      <c r="C707" s="24" t="s">
        <v>23</v>
      </c>
      <c r="D707" s="24" t="s">
        <v>23</v>
      </c>
      <c r="E707" s="24" t="s">
        <v>23</v>
      </c>
      <c r="F707" s="24" t="s">
        <v>23</v>
      </c>
      <c r="G707" s="24" t="s">
        <v>23</v>
      </c>
      <c r="H707" s="24">
        <v>13.74</v>
      </c>
      <c r="I707" s="24">
        <v>32.75</v>
      </c>
      <c r="J707" s="25">
        <v>0</v>
      </c>
      <c r="K707" s="25">
        <v>0</v>
      </c>
      <c r="L707" s="25">
        <v>318</v>
      </c>
      <c r="M707" s="18">
        <f t="shared" ref="M707:M730" si="57">VALUE(RIGHT(B707, 6))</f>
        <v>360</v>
      </c>
      <c r="N707" s="19">
        <f t="shared" ref="N707:N730" si="58">DATE(VALUE(LEFT(MID(B707,10,6),4)),VALUE(RIGHT(MID(B707,10,6),2)),1)+MOD(5-WEEKDAY(DATE(VALUE(LEFT(MID(B707,10,6),4)),VALUE(RIGHT(MID(B707,10,6),2)),1)),7)+7</f>
        <v>46002</v>
      </c>
      <c r="O707" s="18" t="b">
        <f t="shared" si="56"/>
        <v>0</v>
      </c>
      <c r="P707" s="43" t="str">
        <f>IF(O707,swap_curve!$B$19,"")</f>
        <v/>
      </c>
      <c r="Q707" t="str">
        <f t="shared" ref="Q707:Q751" si="59">IF(O707,H707%,"")</f>
        <v/>
      </c>
      <c r="R707" t="str" cm="1">
        <f t="array" ref="R707">IF(O707,BSCall(swap_curve!$B$20,imvol!M707,imvol!P707,imvol!Q707,YEARFRAC(swap_curve!$C$1,imvol!N707)),"")</f>
        <v/>
      </c>
      <c r="S707" s="20" t="str">
        <f t="shared" si="55"/>
        <v/>
      </c>
    </row>
    <row r="708" spans="1:19" x14ac:dyDescent="0.3">
      <c r="A708" s="23" t="s">
        <v>618</v>
      </c>
      <c r="B708" s="23" t="s">
        <v>619</v>
      </c>
      <c r="C708" s="24" t="s">
        <v>23</v>
      </c>
      <c r="D708" s="24" t="s">
        <v>23</v>
      </c>
      <c r="E708" s="24" t="s">
        <v>23</v>
      </c>
      <c r="F708" s="24" t="s">
        <v>23</v>
      </c>
      <c r="G708" s="24" t="s">
        <v>23</v>
      </c>
      <c r="H708" s="24">
        <v>13.93</v>
      </c>
      <c r="I708" s="24">
        <v>28.1</v>
      </c>
      <c r="J708" s="25">
        <v>0</v>
      </c>
      <c r="K708" s="25">
        <v>0</v>
      </c>
      <c r="L708" s="25">
        <v>304</v>
      </c>
      <c r="M708" s="18">
        <f t="shared" si="57"/>
        <v>370</v>
      </c>
      <c r="N708" s="19">
        <f t="shared" si="58"/>
        <v>46002</v>
      </c>
      <c r="O708" s="18" t="b">
        <f t="shared" si="56"/>
        <v>0</v>
      </c>
      <c r="P708" s="43" t="str">
        <f>IF(O708,swap_curve!$B$19,"")</f>
        <v/>
      </c>
      <c r="Q708" t="str">
        <f t="shared" si="59"/>
        <v/>
      </c>
      <c r="R708" t="str" cm="1">
        <f t="array" ref="R708">IF(O708,BSCall(swap_curve!$B$20,imvol!M708,imvol!P708,imvol!Q708,YEARFRAC(swap_curve!$C$1,imvol!N708)),"")</f>
        <v/>
      </c>
      <c r="S708" s="20" t="str">
        <f t="shared" si="55"/>
        <v/>
      </c>
    </row>
    <row r="709" spans="1:19" x14ac:dyDescent="0.3">
      <c r="A709" s="23" t="s">
        <v>620</v>
      </c>
      <c r="B709" s="23" t="s">
        <v>621</v>
      </c>
      <c r="C709" s="24" t="s">
        <v>23</v>
      </c>
      <c r="D709" s="24" t="s">
        <v>23</v>
      </c>
      <c r="E709" s="24" t="s">
        <v>23</v>
      </c>
      <c r="F709" s="24" t="s">
        <v>23</v>
      </c>
      <c r="G709" s="24" t="s">
        <v>23</v>
      </c>
      <c r="H709" s="24">
        <v>14.12</v>
      </c>
      <c r="I709" s="24">
        <v>23.9</v>
      </c>
      <c r="J709" s="25">
        <v>0</v>
      </c>
      <c r="K709" s="25">
        <v>0</v>
      </c>
      <c r="L709" s="25">
        <v>5</v>
      </c>
      <c r="M709" s="18">
        <f t="shared" si="57"/>
        <v>380</v>
      </c>
      <c r="N709" s="19">
        <f t="shared" si="58"/>
        <v>46002</v>
      </c>
      <c r="O709" s="18" t="b">
        <f t="shared" si="56"/>
        <v>0</v>
      </c>
      <c r="P709" s="43" t="str">
        <f>IF(O709,swap_curve!$B$19,"")</f>
        <v/>
      </c>
      <c r="Q709" t="str">
        <f t="shared" si="59"/>
        <v/>
      </c>
      <c r="R709" t="str" cm="1">
        <f t="array" ref="R709">IF(O709,BSCall(swap_curve!$B$20,imvol!M709,imvol!P709,imvol!Q709,YEARFRAC(swap_curve!$C$1,imvol!N709)),"")</f>
        <v/>
      </c>
      <c r="S709" s="20" t="str">
        <f t="shared" si="55"/>
        <v/>
      </c>
    </row>
    <row r="710" spans="1:19" x14ac:dyDescent="0.3">
      <c r="A710" s="23" t="s">
        <v>622</v>
      </c>
      <c r="B710" s="23" t="s">
        <v>623</v>
      </c>
      <c r="C710" s="24" t="s">
        <v>23</v>
      </c>
      <c r="D710" s="24" t="s">
        <v>23</v>
      </c>
      <c r="E710" s="24" t="s">
        <v>23</v>
      </c>
      <c r="F710" s="24" t="s">
        <v>23</v>
      </c>
      <c r="G710" s="24" t="s">
        <v>23</v>
      </c>
      <c r="H710" s="24">
        <v>14.3</v>
      </c>
      <c r="I710" s="24">
        <v>20.350000000000001</v>
      </c>
      <c r="J710" s="25">
        <v>0</v>
      </c>
      <c r="K710" s="25">
        <v>0</v>
      </c>
      <c r="L710" s="25">
        <v>8</v>
      </c>
      <c r="M710" s="18">
        <f t="shared" si="57"/>
        <v>390</v>
      </c>
      <c r="N710" s="19">
        <f t="shared" si="58"/>
        <v>46002</v>
      </c>
      <c r="O710" s="18" t="b">
        <f t="shared" si="56"/>
        <v>0</v>
      </c>
      <c r="P710" s="43" t="str">
        <f>IF(O710,swap_curve!$B$19,"")</f>
        <v/>
      </c>
      <c r="Q710" t="str">
        <f t="shared" si="59"/>
        <v/>
      </c>
      <c r="R710" t="str" cm="1">
        <f t="array" ref="R710">IF(O710,BSCall(swap_curve!$B$20,imvol!M710,imvol!P710,imvol!Q710,YEARFRAC(swap_curve!$C$1,imvol!N710)),"")</f>
        <v/>
      </c>
      <c r="S710" s="20" t="str">
        <f t="shared" si="55"/>
        <v/>
      </c>
    </row>
    <row r="711" spans="1:19" x14ac:dyDescent="0.3">
      <c r="A711" s="23" t="s">
        <v>624</v>
      </c>
      <c r="B711" s="23" t="s">
        <v>625</v>
      </c>
      <c r="C711" s="24" t="s">
        <v>23</v>
      </c>
      <c r="D711" s="24" t="s">
        <v>23</v>
      </c>
      <c r="E711" s="24" t="s">
        <v>23</v>
      </c>
      <c r="F711" s="24" t="s">
        <v>23</v>
      </c>
      <c r="G711" s="24" t="s">
        <v>23</v>
      </c>
      <c r="H711" s="24">
        <v>14.49</v>
      </c>
      <c r="I711" s="24">
        <v>17.25</v>
      </c>
      <c r="J711" s="25">
        <v>0</v>
      </c>
      <c r="K711" s="25">
        <v>0</v>
      </c>
      <c r="L711" s="25">
        <v>22</v>
      </c>
      <c r="M711" s="18">
        <f t="shared" si="57"/>
        <v>400</v>
      </c>
      <c r="N711" s="19">
        <f t="shared" si="58"/>
        <v>46002</v>
      </c>
      <c r="O711" s="18" t="b">
        <f t="shared" si="56"/>
        <v>0</v>
      </c>
      <c r="P711" s="43" t="str">
        <f>IF(O711,swap_curve!$B$19,"")</f>
        <v/>
      </c>
      <c r="Q711" t="str">
        <f t="shared" si="59"/>
        <v/>
      </c>
      <c r="R711" t="str" cm="1">
        <f t="array" ref="R711">IF(O711,BSCall(swap_curve!$B$20,imvol!M711,imvol!P711,imvol!Q711,YEARFRAC(swap_curve!$C$1,imvol!N711)),"")</f>
        <v/>
      </c>
      <c r="S711" s="20" t="str">
        <f t="shared" si="55"/>
        <v/>
      </c>
    </row>
    <row r="712" spans="1:19" x14ac:dyDescent="0.3">
      <c r="A712" s="23" t="s">
        <v>626</v>
      </c>
      <c r="B712" s="23" t="s">
        <v>627</v>
      </c>
      <c r="C712" s="24" t="s">
        <v>23</v>
      </c>
      <c r="D712" s="24" t="s">
        <v>23</v>
      </c>
      <c r="E712" s="24" t="s">
        <v>23</v>
      </c>
      <c r="F712" s="24" t="s">
        <v>23</v>
      </c>
      <c r="G712" s="24" t="s">
        <v>23</v>
      </c>
      <c r="H712" s="24">
        <v>14.68</v>
      </c>
      <c r="I712" s="24">
        <v>14.55</v>
      </c>
      <c r="J712" s="25">
        <v>0</v>
      </c>
      <c r="K712" s="25">
        <v>0</v>
      </c>
      <c r="L712" s="25">
        <v>10</v>
      </c>
      <c r="M712" s="18">
        <f t="shared" si="57"/>
        <v>410</v>
      </c>
      <c r="N712" s="19">
        <f t="shared" si="58"/>
        <v>46002</v>
      </c>
      <c r="O712" s="18" t="b">
        <f t="shared" si="56"/>
        <v>0</v>
      </c>
      <c r="P712" s="43" t="str">
        <f>IF(O712,swap_curve!$B$19,"")</f>
        <v/>
      </c>
      <c r="Q712" t="str">
        <f t="shared" si="59"/>
        <v/>
      </c>
      <c r="R712" t="str" cm="1">
        <f t="array" ref="R712">IF(O712,BSCall(swap_curve!$B$20,imvol!M712,imvol!P712,imvol!Q712,YEARFRAC(swap_curve!$C$1,imvol!N712)),"")</f>
        <v/>
      </c>
      <c r="S712" s="20" t="str">
        <f t="shared" si="55"/>
        <v/>
      </c>
    </row>
    <row r="713" spans="1:19" x14ac:dyDescent="0.3">
      <c r="A713" s="23" t="s">
        <v>628</v>
      </c>
      <c r="B713" s="23" t="s">
        <v>629</v>
      </c>
      <c r="C713" s="24" t="s">
        <v>23</v>
      </c>
      <c r="D713" s="24" t="s">
        <v>23</v>
      </c>
      <c r="E713" s="24" t="s">
        <v>23</v>
      </c>
      <c r="F713" s="24" t="s">
        <v>23</v>
      </c>
      <c r="G713" s="24" t="s">
        <v>23</v>
      </c>
      <c r="H713" s="24">
        <v>14.86</v>
      </c>
      <c r="I713" s="24">
        <v>12.4</v>
      </c>
      <c r="J713" s="25">
        <v>0</v>
      </c>
      <c r="K713" s="25">
        <v>0</v>
      </c>
      <c r="L713" s="25">
        <v>14</v>
      </c>
      <c r="M713" s="18">
        <f t="shared" si="57"/>
        <v>420</v>
      </c>
      <c r="N713" s="19">
        <f t="shared" si="58"/>
        <v>46002</v>
      </c>
      <c r="O713" s="18" t="b">
        <f t="shared" si="56"/>
        <v>0</v>
      </c>
      <c r="P713" s="43" t="str">
        <f>IF(O713,swap_curve!$B$19,"")</f>
        <v/>
      </c>
      <c r="Q713" t="str">
        <f t="shared" si="59"/>
        <v/>
      </c>
      <c r="R713" t="str" cm="1">
        <f t="array" ref="R713">IF(O713,BSCall(swap_curve!$B$20,imvol!M713,imvol!P713,imvol!Q713,YEARFRAC(swap_curve!$C$1,imvol!N713)),"")</f>
        <v/>
      </c>
      <c r="S713" s="20" t="str">
        <f t="shared" si="55"/>
        <v/>
      </c>
    </row>
    <row r="714" spans="1:19" x14ac:dyDescent="0.3">
      <c r="A714" s="23" t="s">
        <v>630</v>
      </c>
      <c r="B714" s="23" t="s">
        <v>631</v>
      </c>
      <c r="C714" s="24" t="s">
        <v>23</v>
      </c>
      <c r="D714" s="24" t="s">
        <v>23</v>
      </c>
      <c r="E714" s="24" t="s">
        <v>23</v>
      </c>
      <c r="F714" s="24" t="s">
        <v>23</v>
      </c>
      <c r="G714" s="24" t="s">
        <v>23</v>
      </c>
      <c r="H714" s="24">
        <v>15.05</v>
      </c>
      <c r="I714" s="24">
        <v>10.25</v>
      </c>
      <c r="J714" s="25">
        <v>0</v>
      </c>
      <c r="K714" s="25">
        <v>0</v>
      </c>
      <c r="L714" s="25">
        <v>104</v>
      </c>
      <c r="M714" s="18">
        <f t="shared" si="57"/>
        <v>430</v>
      </c>
      <c r="N714" s="19">
        <f t="shared" si="58"/>
        <v>46002</v>
      </c>
      <c r="O714" s="18" t="b">
        <f t="shared" si="56"/>
        <v>0</v>
      </c>
      <c r="P714" s="43" t="str">
        <f>IF(O714,swap_curve!$B$19,"")</f>
        <v/>
      </c>
      <c r="Q714" t="str">
        <f t="shared" si="59"/>
        <v/>
      </c>
      <c r="R714" t="str" cm="1">
        <f t="array" ref="R714">IF(O714,BSCall(swap_curve!$B$20,imvol!M714,imvol!P714,imvol!Q714,YEARFRAC(swap_curve!$C$1,imvol!N714)),"")</f>
        <v/>
      </c>
      <c r="S714" s="20" t="str">
        <f t="shared" si="55"/>
        <v/>
      </c>
    </row>
    <row r="715" spans="1:19" x14ac:dyDescent="0.3">
      <c r="A715" s="23" t="s">
        <v>632</v>
      </c>
      <c r="B715" s="23" t="s">
        <v>633</v>
      </c>
      <c r="C715" s="24" t="s">
        <v>23</v>
      </c>
      <c r="D715" s="24" t="s">
        <v>23</v>
      </c>
      <c r="E715" s="24" t="s">
        <v>23</v>
      </c>
      <c r="F715" s="24" t="s">
        <v>23</v>
      </c>
      <c r="G715" s="24" t="s">
        <v>23</v>
      </c>
      <c r="H715" s="24">
        <v>15.24</v>
      </c>
      <c r="I715" s="24">
        <v>8.86</v>
      </c>
      <c r="J715" s="25">
        <v>0</v>
      </c>
      <c r="K715" s="25">
        <v>0</v>
      </c>
      <c r="L715" s="25">
        <v>7</v>
      </c>
      <c r="M715" s="18">
        <f t="shared" si="57"/>
        <v>440</v>
      </c>
      <c r="N715" s="19">
        <f t="shared" si="58"/>
        <v>46002</v>
      </c>
      <c r="O715" s="18" t="b">
        <f t="shared" si="56"/>
        <v>0</v>
      </c>
      <c r="P715" s="43" t="str">
        <f>IF(O715,swap_curve!$B$19,"")</f>
        <v/>
      </c>
      <c r="Q715" t="str">
        <f t="shared" si="59"/>
        <v/>
      </c>
      <c r="R715" t="str" cm="1">
        <f t="array" ref="R715">IF(O715,BSCall(swap_curve!$B$20,imvol!M715,imvol!P715,imvol!Q715,YEARFRAC(swap_curve!$C$1,imvol!N715)),"")</f>
        <v/>
      </c>
      <c r="S715" s="20" t="str">
        <f t="shared" si="55"/>
        <v/>
      </c>
    </row>
    <row r="716" spans="1:19" x14ac:dyDescent="0.3">
      <c r="A716" s="23" t="s">
        <v>634</v>
      </c>
      <c r="B716" s="23" t="s">
        <v>635</v>
      </c>
      <c r="C716" s="24" t="s">
        <v>23</v>
      </c>
      <c r="D716" s="24" t="s">
        <v>23</v>
      </c>
      <c r="E716" s="24" t="s">
        <v>23</v>
      </c>
      <c r="F716" s="24" t="s">
        <v>23</v>
      </c>
      <c r="G716" s="24" t="s">
        <v>23</v>
      </c>
      <c r="H716" s="24">
        <v>15.42</v>
      </c>
      <c r="I716" s="24">
        <v>7.48</v>
      </c>
      <c r="J716" s="25">
        <v>0</v>
      </c>
      <c r="K716" s="25">
        <v>0</v>
      </c>
      <c r="L716" s="25">
        <v>75</v>
      </c>
      <c r="M716" s="18">
        <f t="shared" si="57"/>
        <v>450</v>
      </c>
      <c r="N716" s="19">
        <f t="shared" si="58"/>
        <v>46002</v>
      </c>
      <c r="O716" s="18" t="b">
        <f t="shared" si="56"/>
        <v>0</v>
      </c>
      <c r="P716" s="43" t="str">
        <f>IF(O716,swap_curve!$B$19,"")</f>
        <v/>
      </c>
      <c r="Q716" t="str">
        <f t="shared" si="59"/>
        <v/>
      </c>
      <c r="R716" t="str" cm="1">
        <f t="array" ref="R716">IF(O716,BSCall(swap_curve!$B$20,imvol!M716,imvol!P716,imvol!Q716,YEARFRAC(swap_curve!$C$1,imvol!N716)),"")</f>
        <v/>
      </c>
      <c r="S716" s="20" t="str">
        <f t="shared" si="55"/>
        <v/>
      </c>
    </row>
    <row r="717" spans="1:19" x14ac:dyDescent="0.3">
      <c r="A717" s="23" t="s">
        <v>636</v>
      </c>
      <c r="B717" s="23" t="s">
        <v>637</v>
      </c>
      <c r="C717" s="24" t="s">
        <v>23</v>
      </c>
      <c r="D717" s="24" t="s">
        <v>23</v>
      </c>
      <c r="E717" s="24" t="s">
        <v>23</v>
      </c>
      <c r="F717" s="24" t="s">
        <v>23</v>
      </c>
      <c r="G717" s="24" t="s">
        <v>23</v>
      </c>
      <c r="H717" s="24">
        <v>15.61</v>
      </c>
      <c r="I717" s="24">
        <v>6.21</v>
      </c>
      <c r="J717" s="25">
        <v>0</v>
      </c>
      <c r="K717" s="25">
        <v>0</v>
      </c>
      <c r="L717" s="25">
        <v>27</v>
      </c>
      <c r="M717" s="18">
        <f t="shared" si="57"/>
        <v>460</v>
      </c>
      <c r="N717" s="19">
        <f t="shared" si="58"/>
        <v>46002</v>
      </c>
      <c r="O717" s="18" t="b">
        <f t="shared" si="56"/>
        <v>0</v>
      </c>
      <c r="P717" s="43" t="str">
        <f>IF(O717,swap_curve!$B$19,"")</f>
        <v/>
      </c>
      <c r="Q717" t="str">
        <f t="shared" si="59"/>
        <v/>
      </c>
      <c r="R717" t="str" cm="1">
        <f t="array" ref="R717">IF(O717,BSCall(swap_curve!$B$20,imvol!M717,imvol!P717,imvol!Q717,YEARFRAC(swap_curve!$C$1,imvol!N717)),"")</f>
        <v/>
      </c>
      <c r="S717" s="20" t="str">
        <f t="shared" si="55"/>
        <v/>
      </c>
    </row>
    <row r="718" spans="1:19" x14ac:dyDescent="0.3">
      <c r="A718" s="23" t="s">
        <v>638</v>
      </c>
      <c r="B718" s="23" t="s">
        <v>639</v>
      </c>
      <c r="C718" s="24">
        <v>5.2</v>
      </c>
      <c r="D718" s="24">
        <v>0.4</v>
      </c>
      <c r="E718" s="24">
        <v>5.18</v>
      </c>
      <c r="F718" s="24">
        <v>5.2</v>
      </c>
      <c r="G718" s="24">
        <v>5.18</v>
      </c>
      <c r="H718" s="24">
        <v>15.8</v>
      </c>
      <c r="I718" s="24">
        <v>5.2</v>
      </c>
      <c r="J718" s="25">
        <v>9</v>
      </c>
      <c r="K718" s="25">
        <v>12</v>
      </c>
      <c r="L718" s="25">
        <v>948</v>
      </c>
      <c r="M718" s="18">
        <f t="shared" si="57"/>
        <v>470</v>
      </c>
      <c r="N718" s="19">
        <f t="shared" si="58"/>
        <v>46002</v>
      </c>
      <c r="O718" s="18" t="b">
        <f t="shared" si="56"/>
        <v>0</v>
      </c>
      <c r="P718" s="43" t="str">
        <f>IF(O718,swap_curve!$B$19,"")</f>
        <v/>
      </c>
      <c r="Q718" t="str">
        <f t="shared" si="59"/>
        <v/>
      </c>
      <c r="R718" t="str" cm="1">
        <f t="array" ref="R718">IF(O718,BSCall(swap_curve!$B$20,imvol!M718,imvol!P718,imvol!Q718,YEARFRAC(swap_curve!$C$1,imvol!N718)),"")</f>
        <v/>
      </c>
      <c r="S718" s="20" t="str">
        <f t="shared" si="55"/>
        <v/>
      </c>
    </row>
    <row r="719" spans="1:19" x14ac:dyDescent="0.3">
      <c r="A719" s="23" t="s">
        <v>1510</v>
      </c>
      <c r="B719" s="23" t="s">
        <v>1511</v>
      </c>
      <c r="C719" s="24" t="s">
        <v>23</v>
      </c>
      <c r="D719" s="24" t="s">
        <v>23</v>
      </c>
      <c r="E719" s="24" t="s">
        <v>23</v>
      </c>
      <c r="F719" s="24" t="s">
        <v>23</v>
      </c>
      <c r="G719" s="24" t="s">
        <v>23</v>
      </c>
      <c r="H719" s="24">
        <v>15.8</v>
      </c>
      <c r="I719" s="24">
        <v>4.3899999999999997</v>
      </c>
      <c r="J719" s="25">
        <v>0</v>
      </c>
      <c r="K719" s="25">
        <v>0</v>
      </c>
      <c r="L719" s="25">
        <v>105</v>
      </c>
      <c r="M719" s="18">
        <f t="shared" si="57"/>
        <v>480</v>
      </c>
      <c r="N719" s="19">
        <f t="shared" si="58"/>
        <v>46002</v>
      </c>
      <c r="O719" s="18" t="b">
        <f t="shared" si="56"/>
        <v>0</v>
      </c>
      <c r="P719" s="43" t="str">
        <f>IF(O719,swap_curve!$B$19,"")</f>
        <v/>
      </c>
      <c r="Q719" t="str">
        <f t="shared" si="59"/>
        <v/>
      </c>
      <c r="R719" t="str" cm="1">
        <f t="array" ref="R719">IF(O719,BSCall(swap_curve!$B$20,imvol!M719,imvol!P719,imvol!Q719,YEARFRAC(swap_curve!$C$1,imvol!N719)),"")</f>
        <v/>
      </c>
      <c r="S719" s="20" t="str">
        <f t="shared" si="55"/>
        <v/>
      </c>
    </row>
    <row r="720" spans="1:19" x14ac:dyDescent="0.3">
      <c r="A720" s="23" t="s">
        <v>1512</v>
      </c>
      <c r="B720" s="23" t="s">
        <v>1513</v>
      </c>
      <c r="C720" s="24" t="s">
        <v>23</v>
      </c>
      <c r="D720" s="24" t="s">
        <v>23</v>
      </c>
      <c r="E720" s="24" t="s">
        <v>23</v>
      </c>
      <c r="F720" s="24" t="s">
        <v>23</v>
      </c>
      <c r="G720" s="24" t="s">
        <v>23</v>
      </c>
      <c r="H720" s="24">
        <v>15.8</v>
      </c>
      <c r="I720" s="24">
        <v>3.49</v>
      </c>
      <c r="J720" s="25">
        <v>0</v>
      </c>
      <c r="K720" s="25">
        <v>0</v>
      </c>
      <c r="L720" s="25">
        <v>10</v>
      </c>
      <c r="M720" s="18">
        <f t="shared" si="57"/>
        <v>490</v>
      </c>
      <c r="N720" s="19">
        <f t="shared" si="58"/>
        <v>46002</v>
      </c>
      <c r="O720" s="18" t="b">
        <f t="shared" si="56"/>
        <v>0</v>
      </c>
      <c r="P720" s="43" t="str">
        <f>IF(O720,swap_curve!$B$19,"")</f>
        <v/>
      </c>
      <c r="Q720" t="str">
        <f t="shared" si="59"/>
        <v/>
      </c>
      <c r="R720" t="str" cm="1">
        <f t="array" ref="R720">IF(O720,BSCall(swap_curve!$B$20,imvol!M720,imvol!P720,imvol!Q720,YEARFRAC(swap_curve!$C$1,imvol!N720)),"")</f>
        <v/>
      </c>
      <c r="S720" s="20" t="str">
        <f t="shared" si="55"/>
        <v/>
      </c>
    </row>
    <row r="721" spans="1:19" x14ac:dyDescent="0.3">
      <c r="A721" s="23" t="s">
        <v>1514</v>
      </c>
      <c r="B721" s="23" t="s">
        <v>1515</v>
      </c>
      <c r="C721" s="24" t="s">
        <v>23</v>
      </c>
      <c r="D721" s="24" t="s">
        <v>23</v>
      </c>
      <c r="E721" s="24" t="s">
        <v>23</v>
      </c>
      <c r="F721" s="24" t="s">
        <v>23</v>
      </c>
      <c r="G721" s="24" t="s">
        <v>23</v>
      </c>
      <c r="H721" s="24">
        <v>15.8</v>
      </c>
      <c r="I721" s="24">
        <v>2.9</v>
      </c>
      <c r="J721" s="25">
        <v>0</v>
      </c>
      <c r="K721" s="25">
        <v>0</v>
      </c>
      <c r="L721" s="25">
        <v>27</v>
      </c>
      <c r="M721" s="18">
        <f t="shared" si="57"/>
        <v>500</v>
      </c>
      <c r="N721" s="19">
        <f t="shared" si="58"/>
        <v>46002</v>
      </c>
      <c r="O721" s="18" t="b">
        <f t="shared" si="56"/>
        <v>0</v>
      </c>
      <c r="P721" s="43" t="str">
        <f>IF(O721,swap_curve!$B$19,"")</f>
        <v/>
      </c>
      <c r="Q721" t="str">
        <f t="shared" si="59"/>
        <v/>
      </c>
      <c r="R721" t="str" cm="1">
        <f t="array" ref="R721">IF(O721,BSCall(swap_curve!$B$20,imvol!M721,imvol!P721,imvol!Q721,YEARFRAC(swap_curve!$C$1,imvol!N721)),"")</f>
        <v/>
      </c>
      <c r="S721" s="20" t="str">
        <f t="shared" si="55"/>
        <v/>
      </c>
    </row>
    <row r="722" spans="1:19" x14ac:dyDescent="0.3">
      <c r="A722" s="23" t="s">
        <v>1516</v>
      </c>
      <c r="B722" s="23" t="s">
        <v>1517</v>
      </c>
      <c r="C722" s="24" t="s">
        <v>23</v>
      </c>
      <c r="D722" s="24" t="s">
        <v>23</v>
      </c>
      <c r="E722" s="24" t="s">
        <v>23</v>
      </c>
      <c r="F722" s="24" t="s">
        <v>23</v>
      </c>
      <c r="G722" s="24" t="s">
        <v>23</v>
      </c>
      <c r="H722" s="24">
        <v>15</v>
      </c>
      <c r="I722" s="24">
        <v>157.19999999999999</v>
      </c>
      <c r="J722" s="25">
        <v>0</v>
      </c>
      <c r="K722" s="25">
        <v>0</v>
      </c>
      <c r="L722" s="25">
        <v>36</v>
      </c>
      <c r="M722" s="18">
        <f t="shared" si="57"/>
        <v>210</v>
      </c>
      <c r="N722" s="19">
        <f t="shared" si="58"/>
        <v>46366</v>
      </c>
      <c r="O722" s="18" t="b">
        <f t="shared" si="56"/>
        <v>0</v>
      </c>
      <c r="P722" s="43" t="str">
        <f>IF(O722,swap_curve!$B$19,"")</f>
        <v/>
      </c>
      <c r="Q722" t="str">
        <f t="shared" si="59"/>
        <v/>
      </c>
      <c r="R722" t="str" cm="1">
        <f t="array" ref="R722">IF(O722,BSCall(swap_curve!$B$20,imvol!M722,imvol!P722,imvol!Q722,YEARFRAC(swap_curve!$C$1,imvol!N722)),"")</f>
        <v/>
      </c>
      <c r="S722" s="20" t="str">
        <f t="shared" si="55"/>
        <v/>
      </c>
    </row>
    <row r="723" spans="1:19" x14ac:dyDescent="0.3">
      <c r="A723" s="23" t="s">
        <v>640</v>
      </c>
      <c r="B723" s="23" t="s">
        <v>641</v>
      </c>
      <c r="C723" s="24" t="s">
        <v>23</v>
      </c>
      <c r="D723" s="24" t="s">
        <v>23</v>
      </c>
      <c r="E723" s="24" t="s">
        <v>23</v>
      </c>
      <c r="F723" s="24" t="s">
        <v>23</v>
      </c>
      <c r="G723" s="24" t="s">
        <v>23</v>
      </c>
      <c r="H723" s="24">
        <v>15</v>
      </c>
      <c r="I723" s="24">
        <v>148.19999999999999</v>
      </c>
      <c r="J723" s="25">
        <v>0</v>
      </c>
      <c r="K723" s="25">
        <v>0</v>
      </c>
      <c r="L723" s="25">
        <v>4</v>
      </c>
      <c r="M723" s="18">
        <f t="shared" si="57"/>
        <v>220</v>
      </c>
      <c r="N723" s="19">
        <f t="shared" si="58"/>
        <v>46366</v>
      </c>
      <c r="O723" s="18" t="b">
        <f t="shared" si="56"/>
        <v>0</v>
      </c>
      <c r="P723" s="43" t="str">
        <f>IF(O723,swap_curve!$B$19,"")</f>
        <v/>
      </c>
      <c r="Q723" t="str">
        <f t="shared" si="59"/>
        <v/>
      </c>
      <c r="R723" t="str" cm="1">
        <f t="array" ref="R723">IF(O723,BSCall(swap_curve!$B$20,imvol!M723,imvol!P723,imvol!Q723,YEARFRAC(swap_curve!$C$1,imvol!N723)),"")</f>
        <v/>
      </c>
      <c r="S723" s="20" t="str">
        <f t="shared" si="55"/>
        <v/>
      </c>
    </row>
    <row r="724" spans="1:19" x14ac:dyDescent="0.3">
      <c r="A724" s="23" t="s">
        <v>642</v>
      </c>
      <c r="B724" s="23" t="s">
        <v>643</v>
      </c>
      <c r="C724" s="24" t="s">
        <v>23</v>
      </c>
      <c r="D724" s="24" t="s">
        <v>23</v>
      </c>
      <c r="E724" s="24" t="s">
        <v>23</v>
      </c>
      <c r="F724" s="24" t="s">
        <v>23</v>
      </c>
      <c r="G724" s="24" t="s">
        <v>23</v>
      </c>
      <c r="H724" s="24">
        <v>15</v>
      </c>
      <c r="I724" s="24">
        <v>139.25</v>
      </c>
      <c r="J724" s="25">
        <v>0</v>
      </c>
      <c r="K724" s="25">
        <v>0</v>
      </c>
      <c r="L724" s="25">
        <v>0</v>
      </c>
      <c r="M724" s="18">
        <f t="shared" si="57"/>
        <v>230</v>
      </c>
      <c r="N724" s="19">
        <f t="shared" si="58"/>
        <v>46366</v>
      </c>
      <c r="O724" s="18" t="b">
        <f t="shared" si="56"/>
        <v>0</v>
      </c>
      <c r="P724" s="43" t="str">
        <f>IF(O724,swap_curve!$B$19,"")</f>
        <v/>
      </c>
      <c r="Q724" t="str">
        <f t="shared" si="59"/>
        <v/>
      </c>
      <c r="R724" t="str" cm="1">
        <f t="array" ref="R724">IF(O724,BSCall(swap_curve!$B$20,imvol!M724,imvol!P724,imvol!Q724,YEARFRAC(swap_curve!$C$1,imvol!N724)),"")</f>
        <v/>
      </c>
      <c r="S724" s="20" t="str">
        <f t="shared" si="55"/>
        <v/>
      </c>
    </row>
    <row r="725" spans="1:19" x14ac:dyDescent="0.3">
      <c r="A725" s="23" t="s">
        <v>644</v>
      </c>
      <c r="B725" s="23" t="s">
        <v>645</v>
      </c>
      <c r="C725" s="24" t="s">
        <v>23</v>
      </c>
      <c r="D725" s="24" t="s">
        <v>23</v>
      </c>
      <c r="E725" s="24" t="s">
        <v>23</v>
      </c>
      <c r="F725" s="24" t="s">
        <v>23</v>
      </c>
      <c r="G725" s="24" t="s">
        <v>23</v>
      </c>
      <c r="H725" s="24">
        <v>15</v>
      </c>
      <c r="I725" s="24">
        <v>130.4</v>
      </c>
      <c r="J725" s="25">
        <v>0</v>
      </c>
      <c r="K725" s="25">
        <v>0</v>
      </c>
      <c r="L725" s="25">
        <v>0</v>
      </c>
      <c r="M725" s="18">
        <f t="shared" si="57"/>
        <v>240</v>
      </c>
      <c r="N725" s="19">
        <f t="shared" si="58"/>
        <v>46366</v>
      </c>
      <c r="O725" s="18" t="b">
        <f t="shared" si="56"/>
        <v>0</v>
      </c>
      <c r="P725" s="43" t="str">
        <f>IF(O725,swap_curve!$B$19,"")</f>
        <v/>
      </c>
      <c r="Q725" t="str">
        <f t="shared" si="59"/>
        <v/>
      </c>
      <c r="R725" t="str" cm="1">
        <f t="array" ref="R725">IF(O725,BSCall(swap_curve!$B$20,imvol!M725,imvol!P725,imvol!Q725,YEARFRAC(swap_curve!$C$1,imvol!N725)),"")</f>
        <v/>
      </c>
      <c r="S725" s="20" t="str">
        <f t="shared" si="55"/>
        <v/>
      </c>
    </row>
    <row r="726" spans="1:19" x14ac:dyDescent="0.3">
      <c r="A726" s="23" t="s">
        <v>646</v>
      </c>
      <c r="B726" s="23" t="s">
        <v>647</v>
      </c>
      <c r="C726" s="24" t="s">
        <v>23</v>
      </c>
      <c r="D726" s="24" t="s">
        <v>23</v>
      </c>
      <c r="E726" s="24" t="s">
        <v>23</v>
      </c>
      <c r="F726" s="24" t="s">
        <v>23</v>
      </c>
      <c r="G726" s="24" t="s">
        <v>23</v>
      </c>
      <c r="H726" s="24">
        <v>15</v>
      </c>
      <c r="I726" s="24">
        <v>121.7</v>
      </c>
      <c r="J726" s="25">
        <v>0</v>
      </c>
      <c r="K726" s="25">
        <v>0</v>
      </c>
      <c r="L726" s="25">
        <v>0</v>
      </c>
      <c r="M726" s="18">
        <f t="shared" si="57"/>
        <v>250</v>
      </c>
      <c r="N726" s="19">
        <f t="shared" si="58"/>
        <v>46366</v>
      </c>
      <c r="O726" s="18" t="b">
        <f t="shared" si="56"/>
        <v>0</v>
      </c>
      <c r="P726" s="43" t="str">
        <f>IF(O726,swap_curve!$B$19,"")</f>
        <v/>
      </c>
      <c r="Q726" t="str">
        <f t="shared" si="59"/>
        <v/>
      </c>
      <c r="R726" t="str" cm="1">
        <f t="array" ref="R726">IF(O726,BSCall(swap_curve!$B$20,imvol!M726,imvol!P726,imvol!Q726,YEARFRAC(swap_curve!$C$1,imvol!N726)),"")</f>
        <v/>
      </c>
      <c r="S726" s="20" t="str">
        <f t="shared" si="55"/>
        <v/>
      </c>
    </row>
    <row r="727" spans="1:19" x14ac:dyDescent="0.3">
      <c r="A727" s="23" t="s">
        <v>648</v>
      </c>
      <c r="B727" s="23" t="s">
        <v>649</v>
      </c>
      <c r="C727" s="24" t="s">
        <v>23</v>
      </c>
      <c r="D727" s="24" t="s">
        <v>23</v>
      </c>
      <c r="E727" s="24" t="s">
        <v>23</v>
      </c>
      <c r="F727" s="24" t="s">
        <v>23</v>
      </c>
      <c r="G727" s="24" t="s">
        <v>23</v>
      </c>
      <c r="H727" s="24">
        <v>15</v>
      </c>
      <c r="I727" s="24">
        <v>113.2</v>
      </c>
      <c r="J727" s="25">
        <v>0</v>
      </c>
      <c r="K727" s="25">
        <v>0</v>
      </c>
      <c r="L727" s="25">
        <v>0</v>
      </c>
      <c r="M727" s="18">
        <f t="shared" si="57"/>
        <v>260</v>
      </c>
      <c r="N727" s="19">
        <f t="shared" si="58"/>
        <v>46366</v>
      </c>
      <c r="O727" s="18" t="b">
        <f t="shared" si="56"/>
        <v>0</v>
      </c>
      <c r="P727" s="43" t="str">
        <f>IF(O727,swap_curve!$B$19,"")</f>
        <v/>
      </c>
      <c r="Q727" t="str">
        <f t="shared" si="59"/>
        <v/>
      </c>
      <c r="R727" t="str" cm="1">
        <f t="array" ref="R727">IF(O727,BSCall(swap_curve!$B$20,imvol!M727,imvol!P727,imvol!Q727,YEARFRAC(swap_curve!$C$1,imvol!N727)),"")</f>
        <v/>
      </c>
      <c r="S727" s="20" t="str">
        <f t="shared" si="55"/>
        <v/>
      </c>
    </row>
    <row r="728" spans="1:19" x14ac:dyDescent="0.3">
      <c r="A728" s="23" t="s">
        <v>650</v>
      </c>
      <c r="B728" s="23" t="s">
        <v>651</v>
      </c>
      <c r="C728" s="24" t="s">
        <v>23</v>
      </c>
      <c r="D728" s="24" t="s">
        <v>23</v>
      </c>
      <c r="E728" s="24" t="s">
        <v>23</v>
      </c>
      <c r="F728" s="24" t="s">
        <v>23</v>
      </c>
      <c r="G728" s="24" t="s">
        <v>23</v>
      </c>
      <c r="H728" s="24">
        <v>15</v>
      </c>
      <c r="I728" s="24">
        <v>104.8</v>
      </c>
      <c r="J728" s="25">
        <v>0</v>
      </c>
      <c r="K728" s="25">
        <v>0</v>
      </c>
      <c r="L728" s="25">
        <v>0</v>
      </c>
      <c r="M728" s="18">
        <f t="shared" si="57"/>
        <v>270</v>
      </c>
      <c r="N728" s="19">
        <f t="shared" si="58"/>
        <v>46366</v>
      </c>
      <c r="O728" s="18" t="b">
        <f t="shared" si="56"/>
        <v>0</v>
      </c>
      <c r="P728" s="43" t="str">
        <f>IF(O728,swap_curve!$B$19,"")</f>
        <v/>
      </c>
      <c r="Q728" t="str">
        <f t="shared" si="59"/>
        <v/>
      </c>
      <c r="R728" t="str" cm="1">
        <f t="array" ref="R728">IF(O728,BSCall(swap_curve!$B$20,imvol!M728,imvol!P728,imvol!Q728,YEARFRAC(swap_curve!$C$1,imvol!N728)),"")</f>
        <v/>
      </c>
      <c r="S728" s="20" t="str">
        <f t="shared" si="55"/>
        <v/>
      </c>
    </row>
    <row r="729" spans="1:19" x14ac:dyDescent="0.3">
      <c r="A729" s="23" t="s">
        <v>652</v>
      </c>
      <c r="B729" s="23" t="s">
        <v>653</v>
      </c>
      <c r="C729" s="24" t="s">
        <v>23</v>
      </c>
      <c r="D729" s="24" t="s">
        <v>23</v>
      </c>
      <c r="E729" s="24" t="s">
        <v>23</v>
      </c>
      <c r="F729" s="24" t="s">
        <v>23</v>
      </c>
      <c r="G729" s="24" t="s">
        <v>23</v>
      </c>
      <c r="H729" s="24">
        <v>15</v>
      </c>
      <c r="I729" s="24">
        <v>96.75</v>
      </c>
      <c r="J729" s="25">
        <v>0</v>
      </c>
      <c r="K729" s="25">
        <v>0</v>
      </c>
      <c r="L729" s="25">
        <v>0</v>
      </c>
      <c r="M729" s="18">
        <f t="shared" si="57"/>
        <v>280</v>
      </c>
      <c r="N729" s="19">
        <f t="shared" si="58"/>
        <v>46366</v>
      </c>
      <c r="O729" s="18" t="b">
        <f t="shared" si="56"/>
        <v>0</v>
      </c>
      <c r="P729" s="43" t="str">
        <f>IF(O729,swap_curve!$B$19,"")</f>
        <v/>
      </c>
      <c r="Q729" t="str">
        <f t="shared" si="59"/>
        <v/>
      </c>
      <c r="R729" t="str" cm="1">
        <f t="array" ref="R729">IF(O729,BSCall(swap_curve!$B$20,imvol!M729,imvol!P729,imvol!Q729,YEARFRAC(swap_curve!$C$1,imvol!N729)),"")</f>
        <v/>
      </c>
      <c r="S729" s="20" t="str">
        <f t="shared" si="55"/>
        <v/>
      </c>
    </row>
    <row r="730" spans="1:19" x14ac:dyDescent="0.3">
      <c r="A730" s="23" t="s">
        <v>654</v>
      </c>
      <c r="B730" s="23" t="s">
        <v>655</v>
      </c>
      <c r="C730" s="24" t="s">
        <v>23</v>
      </c>
      <c r="D730" s="24" t="s">
        <v>23</v>
      </c>
      <c r="E730" s="24" t="s">
        <v>23</v>
      </c>
      <c r="F730" s="24" t="s">
        <v>23</v>
      </c>
      <c r="G730" s="24" t="s">
        <v>23</v>
      </c>
      <c r="H730" s="24">
        <v>15</v>
      </c>
      <c r="I730" s="24">
        <v>88.8</v>
      </c>
      <c r="J730" s="25">
        <v>0</v>
      </c>
      <c r="K730" s="25">
        <v>0</v>
      </c>
      <c r="L730" s="25">
        <v>0</v>
      </c>
      <c r="M730" s="18">
        <f t="shared" si="57"/>
        <v>290</v>
      </c>
      <c r="N730" s="19">
        <f t="shared" si="58"/>
        <v>46366</v>
      </c>
      <c r="O730" s="18" t="b">
        <f t="shared" si="56"/>
        <v>0</v>
      </c>
      <c r="P730" s="43" t="str">
        <f>IF(O730,swap_curve!$B$19,"")</f>
        <v/>
      </c>
      <c r="Q730" t="str">
        <f t="shared" si="59"/>
        <v/>
      </c>
      <c r="R730" t="str" cm="1">
        <f t="array" ref="R730">IF(O730,BSCall(swap_curve!$B$20,imvol!M730,imvol!P730,imvol!Q730,YEARFRAC(swap_curve!$C$1,imvol!N730)),"")</f>
        <v/>
      </c>
      <c r="S730" s="20" t="str">
        <f t="shared" si="55"/>
        <v/>
      </c>
    </row>
    <row r="731" spans="1:19" x14ac:dyDescent="0.3">
      <c r="A731" s="23" t="s">
        <v>656</v>
      </c>
      <c r="B731" s="23" t="s">
        <v>657</v>
      </c>
      <c r="C731" s="24" t="s">
        <v>23</v>
      </c>
      <c r="D731" s="24" t="s">
        <v>23</v>
      </c>
      <c r="E731" s="24" t="s">
        <v>23</v>
      </c>
      <c r="F731" s="24" t="s">
        <v>23</v>
      </c>
      <c r="G731" s="24" t="s">
        <v>23</v>
      </c>
      <c r="H731" s="24">
        <v>15</v>
      </c>
      <c r="I731" s="24">
        <v>81.349999999999994</v>
      </c>
      <c r="J731" s="25">
        <v>0</v>
      </c>
      <c r="K731" s="25">
        <v>0</v>
      </c>
      <c r="L731" s="25">
        <v>0</v>
      </c>
      <c r="M731" s="18">
        <f t="shared" ref="M731:M751" si="60">VALUE(RIGHT(B731, 6))</f>
        <v>300</v>
      </c>
      <c r="N731" s="19">
        <f t="shared" ref="N731:N751" si="61">DATE(VALUE(LEFT(MID(B731,10,6),4)),VALUE(RIGHT(MID(B731,10,6),2)),1)+MOD(5-WEEKDAY(DATE(VALUE(LEFT(MID(B731,10,6),4)),VALUE(RIGHT(MID(B731,10,6),2)),1)),7)+7</f>
        <v>46366</v>
      </c>
      <c r="O731" s="18" t="b">
        <f t="shared" ref="O731:O751" si="62">IF(J731&gt;100, TRUE,FALSE)</f>
        <v>0</v>
      </c>
      <c r="P731" s="43" t="str">
        <f>IF(O731,swap_curve!$B$19,"")</f>
        <v/>
      </c>
      <c r="Q731" t="str">
        <f t="shared" si="59"/>
        <v/>
      </c>
      <c r="R731" t="str" cm="1">
        <f t="array" ref="R731">IF(O731,BSCall(swap_curve!$B$20,imvol!M731,imvol!P731,imvol!Q731,YEARFRAC(swap_curve!$C$1,imvol!N731)),"")</f>
        <v/>
      </c>
      <c r="S731" s="20" t="str">
        <f t="shared" si="55"/>
        <v/>
      </c>
    </row>
    <row r="732" spans="1:19" x14ac:dyDescent="0.3">
      <c r="A732" s="23" t="s">
        <v>658</v>
      </c>
      <c r="B732" s="23" t="s">
        <v>659</v>
      </c>
      <c r="C732" s="24" t="s">
        <v>23</v>
      </c>
      <c r="D732" s="24" t="s">
        <v>23</v>
      </c>
      <c r="E732" s="24" t="s">
        <v>23</v>
      </c>
      <c r="F732" s="24" t="s">
        <v>23</v>
      </c>
      <c r="G732" s="24" t="s">
        <v>23</v>
      </c>
      <c r="H732" s="24">
        <v>15</v>
      </c>
      <c r="I732" s="24">
        <v>74.099999999999994</v>
      </c>
      <c r="J732" s="25">
        <v>0</v>
      </c>
      <c r="K732" s="25">
        <v>0</v>
      </c>
      <c r="L732" s="25">
        <v>0</v>
      </c>
      <c r="M732" s="18">
        <f t="shared" si="60"/>
        <v>310</v>
      </c>
      <c r="N732" s="19">
        <f t="shared" si="61"/>
        <v>46366</v>
      </c>
      <c r="O732" s="18" t="b">
        <f t="shared" si="62"/>
        <v>0</v>
      </c>
      <c r="P732" s="43" t="str">
        <f>IF(O732,swap_curve!$B$19,"")</f>
        <v/>
      </c>
      <c r="Q732" t="str">
        <f t="shared" si="59"/>
        <v/>
      </c>
      <c r="R732" t="str" cm="1">
        <f t="array" ref="R732">IF(O732,BSCall(swap_curve!$B$20,imvol!M732,imvol!P732,imvol!Q732,YEARFRAC(swap_curve!$C$1,imvol!N732)),"")</f>
        <v/>
      </c>
      <c r="S732" s="20" t="str">
        <f t="shared" si="55"/>
        <v/>
      </c>
    </row>
    <row r="733" spans="1:19" x14ac:dyDescent="0.3">
      <c r="A733" s="23" t="s">
        <v>660</v>
      </c>
      <c r="B733" s="23" t="s">
        <v>661</v>
      </c>
      <c r="C733" s="24" t="s">
        <v>23</v>
      </c>
      <c r="D733" s="24" t="s">
        <v>23</v>
      </c>
      <c r="E733" s="24" t="s">
        <v>23</v>
      </c>
      <c r="F733" s="24" t="s">
        <v>23</v>
      </c>
      <c r="G733" s="24" t="s">
        <v>23</v>
      </c>
      <c r="H733" s="24">
        <v>15</v>
      </c>
      <c r="I733" s="24">
        <v>67.3</v>
      </c>
      <c r="J733" s="25">
        <v>0</v>
      </c>
      <c r="K733" s="25">
        <v>0</v>
      </c>
      <c r="L733" s="25">
        <v>0</v>
      </c>
      <c r="M733" s="18">
        <f t="shared" si="60"/>
        <v>320</v>
      </c>
      <c r="N733" s="19">
        <f t="shared" si="61"/>
        <v>46366</v>
      </c>
      <c r="O733" s="18" t="b">
        <f t="shared" si="62"/>
        <v>0</v>
      </c>
      <c r="P733" s="43" t="str">
        <f>IF(O733,swap_curve!$B$19,"")</f>
        <v/>
      </c>
      <c r="Q733" t="str">
        <f t="shared" si="59"/>
        <v/>
      </c>
      <c r="R733" t="str" cm="1">
        <f t="array" ref="R733">IF(O733,BSCall(swap_curve!$B$20,imvol!M733,imvol!P733,imvol!Q733,YEARFRAC(swap_curve!$C$1,imvol!N733)),"")</f>
        <v/>
      </c>
      <c r="S733" s="20" t="str">
        <f t="shared" si="55"/>
        <v/>
      </c>
    </row>
    <row r="734" spans="1:19" x14ac:dyDescent="0.3">
      <c r="A734" s="23" t="s">
        <v>662</v>
      </c>
      <c r="B734" s="23" t="s">
        <v>663</v>
      </c>
      <c r="C734" s="24" t="s">
        <v>23</v>
      </c>
      <c r="D734" s="24" t="s">
        <v>23</v>
      </c>
      <c r="E734" s="24" t="s">
        <v>23</v>
      </c>
      <c r="F734" s="24" t="s">
        <v>23</v>
      </c>
      <c r="G734" s="24" t="s">
        <v>23</v>
      </c>
      <c r="H734" s="24">
        <v>15</v>
      </c>
      <c r="I734" s="24">
        <v>60.85</v>
      </c>
      <c r="J734" s="25">
        <v>0</v>
      </c>
      <c r="K734" s="25">
        <v>0</v>
      </c>
      <c r="L734" s="25">
        <v>0</v>
      </c>
      <c r="M734" s="18">
        <f t="shared" si="60"/>
        <v>330</v>
      </c>
      <c r="N734" s="19">
        <f t="shared" si="61"/>
        <v>46366</v>
      </c>
      <c r="O734" s="18" t="b">
        <f t="shared" si="62"/>
        <v>0</v>
      </c>
      <c r="P734" s="43" t="str">
        <f>IF(O734,swap_curve!$B$19,"")</f>
        <v/>
      </c>
      <c r="Q734" t="str">
        <f t="shared" si="59"/>
        <v/>
      </c>
      <c r="R734" t="str" cm="1">
        <f t="array" ref="R734">IF(O734,BSCall(swap_curve!$B$20,imvol!M734,imvol!P734,imvol!Q734,YEARFRAC(swap_curve!$C$1,imvol!N734)),"")</f>
        <v/>
      </c>
      <c r="S734" s="20" t="str">
        <f t="shared" si="55"/>
        <v/>
      </c>
    </row>
    <row r="735" spans="1:19" x14ac:dyDescent="0.3">
      <c r="A735" s="23" t="s">
        <v>664</v>
      </c>
      <c r="B735" s="23" t="s">
        <v>665</v>
      </c>
      <c r="C735" s="24" t="s">
        <v>23</v>
      </c>
      <c r="D735" s="24" t="s">
        <v>23</v>
      </c>
      <c r="E735" s="24" t="s">
        <v>23</v>
      </c>
      <c r="F735" s="24" t="s">
        <v>23</v>
      </c>
      <c r="G735" s="24" t="s">
        <v>23</v>
      </c>
      <c r="H735" s="24">
        <v>15</v>
      </c>
      <c r="I735" s="24">
        <v>54.7</v>
      </c>
      <c r="J735" s="25">
        <v>0</v>
      </c>
      <c r="K735" s="25">
        <v>0</v>
      </c>
      <c r="L735" s="25">
        <v>0</v>
      </c>
      <c r="M735" s="18">
        <f t="shared" si="60"/>
        <v>340</v>
      </c>
      <c r="N735" s="19">
        <f t="shared" si="61"/>
        <v>46366</v>
      </c>
      <c r="O735" s="18" t="b">
        <f t="shared" si="62"/>
        <v>0</v>
      </c>
      <c r="P735" s="43" t="str">
        <f>IF(O735,swap_curve!$B$19,"")</f>
        <v/>
      </c>
      <c r="Q735" t="str">
        <f t="shared" si="59"/>
        <v/>
      </c>
      <c r="R735" t="str" cm="1">
        <f t="array" ref="R735">IF(O735,BSCall(swap_curve!$B$20,imvol!M735,imvol!P735,imvol!Q735,YEARFRAC(swap_curve!$C$1,imvol!N735)),"")</f>
        <v/>
      </c>
      <c r="S735" s="20" t="str">
        <f t="shared" si="55"/>
        <v/>
      </c>
    </row>
    <row r="736" spans="1:19" x14ac:dyDescent="0.3">
      <c r="A736" s="23" t="s">
        <v>666</v>
      </c>
      <c r="B736" s="23" t="s">
        <v>667</v>
      </c>
      <c r="C736" s="24" t="s">
        <v>23</v>
      </c>
      <c r="D736" s="24" t="s">
        <v>23</v>
      </c>
      <c r="E736" s="24" t="s">
        <v>23</v>
      </c>
      <c r="F736" s="24" t="s">
        <v>23</v>
      </c>
      <c r="G736" s="24" t="s">
        <v>23</v>
      </c>
      <c r="H736" s="24">
        <v>15</v>
      </c>
      <c r="I736" s="24">
        <v>49.2</v>
      </c>
      <c r="J736" s="25">
        <v>0</v>
      </c>
      <c r="K736" s="25">
        <v>0</v>
      </c>
      <c r="L736" s="25">
        <v>0</v>
      </c>
      <c r="M736" s="18">
        <f t="shared" si="60"/>
        <v>350</v>
      </c>
      <c r="N736" s="19">
        <f t="shared" si="61"/>
        <v>46366</v>
      </c>
      <c r="O736" s="18" t="b">
        <f t="shared" si="62"/>
        <v>0</v>
      </c>
      <c r="P736" s="43" t="str">
        <f>IF(O736,swap_curve!$B$19,"")</f>
        <v/>
      </c>
      <c r="Q736" t="str">
        <f t="shared" si="59"/>
        <v/>
      </c>
      <c r="R736" t="str" cm="1">
        <f t="array" ref="R736">IF(O736,BSCall(swap_curve!$B$20,imvol!M736,imvol!P736,imvol!Q736,YEARFRAC(swap_curve!$C$1,imvol!N736)),"")</f>
        <v/>
      </c>
      <c r="S736" s="20" t="str">
        <f t="shared" si="55"/>
        <v/>
      </c>
    </row>
    <row r="737" spans="1:19" x14ac:dyDescent="0.3">
      <c r="A737" s="23" t="s">
        <v>668</v>
      </c>
      <c r="B737" s="23" t="s">
        <v>669</v>
      </c>
      <c r="C737" s="24" t="s">
        <v>23</v>
      </c>
      <c r="D737" s="24" t="s">
        <v>23</v>
      </c>
      <c r="E737" s="24" t="s">
        <v>23</v>
      </c>
      <c r="F737" s="24" t="s">
        <v>23</v>
      </c>
      <c r="G737" s="24" t="s">
        <v>23</v>
      </c>
      <c r="H737" s="24">
        <v>15</v>
      </c>
      <c r="I737" s="24">
        <v>43.7</v>
      </c>
      <c r="J737" s="25">
        <v>0</v>
      </c>
      <c r="K737" s="25">
        <v>0</v>
      </c>
      <c r="L737" s="25">
        <v>0</v>
      </c>
      <c r="M737" s="18">
        <f t="shared" si="60"/>
        <v>360</v>
      </c>
      <c r="N737" s="19">
        <f t="shared" si="61"/>
        <v>46366</v>
      </c>
      <c r="O737" s="18" t="b">
        <f t="shared" si="62"/>
        <v>0</v>
      </c>
      <c r="P737" s="43" t="str">
        <f>IF(O737,swap_curve!$B$19,"")</f>
        <v/>
      </c>
      <c r="Q737" t="str">
        <f t="shared" si="59"/>
        <v/>
      </c>
      <c r="R737" t="str" cm="1">
        <f t="array" ref="R737">IF(O737,BSCall(swap_curve!$B$20,imvol!M737,imvol!P737,imvol!Q737,YEARFRAC(swap_curve!$C$1,imvol!N737)),"")</f>
        <v/>
      </c>
      <c r="S737" s="20" t="str">
        <f t="shared" si="55"/>
        <v/>
      </c>
    </row>
    <row r="738" spans="1:19" x14ac:dyDescent="0.3">
      <c r="A738" s="23" t="s">
        <v>670</v>
      </c>
      <c r="B738" s="23" t="s">
        <v>671</v>
      </c>
      <c r="C738" s="24" t="s">
        <v>23</v>
      </c>
      <c r="D738" s="24" t="s">
        <v>23</v>
      </c>
      <c r="E738" s="24" t="s">
        <v>23</v>
      </c>
      <c r="F738" s="24" t="s">
        <v>23</v>
      </c>
      <c r="G738" s="24" t="s">
        <v>23</v>
      </c>
      <c r="H738" s="24">
        <v>15</v>
      </c>
      <c r="I738" s="24">
        <v>39.15</v>
      </c>
      <c r="J738" s="25">
        <v>0</v>
      </c>
      <c r="K738" s="25">
        <v>0</v>
      </c>
      <c r="L738" s="25">
        <v>1</v>
      </c>
      <c r="M738" s="18">
        <f t="shared" si="60"/>
        <v>370</v>
      </c>
      <c r="N738" s="19">
        <f t="shared" si="61"/>
        <v>46366</v>
      </c>
      <c r="O738" s="18" t="b">
        <f t="shared" si="62"/>
        <v>0</v>
      </c>
      <c r="P738" s="43" t="str">
        <f>IF(O738,swap_curve!$B$19,"")</f>
        <v/>
      </c>
      <c r="Q738" t="str">
        <f t="shared" si="59"/>
        <v/>
      </c>
      <c r="R738" t="str" cm="1">
        <f t="array" ref="R738">IF(O738,BSCall(swap_curve!$B$20,imvol!M738,imvol!P738,imvol!Q738,YEARFRAC(swap_curve!$C$1,imvol!N738)),"")</f>
        <v/>
      </c>
      <c r="S738" s="20" t="str">
        <f t="shared" si="55"/>
        <v/>
      </c>
    </row>
    <row r="739" spans="1:19" x14ac:dyDescent="0.3">
      <c r="A739" s="23" t="s">
        <v>672</v>
      </c>
      <c r="B739" s="23" t="s">
        <v>673</v>
      </c>
      <c r="C739" s="24" t="s">
        <v>23</v>
      </c>
      <c r="D739" s="24" t="s">
        <v>23</v>
      </c>
      <c r="E739" s="24" t="s">
        <v>23</v>
      </c>
      <c r="F739" s="24" t="s">
        <v>23</v>
      </c>
      <c r="G739" s="24" t="s">
        <v>23</v>
      </c>
      <c r="H739" s="24">
        <v>15</v>
      </c>
      <c r="I739" s="24">
        <v>34.700000000000003</v>
      </c>
      <c r="J739" s="25">
        <v>0</v>
      </c>
      <c r="K739" s="25">
        <v>0</v>
      </c>
      <c r="L739" s="25">
        <v>0</v>
      </c>
      <c r="M739" s="18">
        <f t="shared" si="60"/>
        <v>380</v>
      </c>
      <c r="N739" s="19">
        <f t="shared" si="61"/>
        <v>46366</v>
      </c>
      <c r="O739" s="18" t="b">
        <f t="shared" si="62"/>
        <v>0</v>
      </c>
      <c r="P739" s="43" t="str">
        <f>IF(O739,swap_curve!$B$19,"")</f>
        <v/>
      </c>
      <c r="Q739" t="str">
        <f t="shared" si="59"/>
        <v/>
      </c>
      <c r="R739" t="str" cm="1">
        <f t="array" ref="R739">IF(O739,BSCall(swap_curve!$B$20,imvol!M739,imvol!P739,imvol!Q739,YEARFRAC(swap_curve!$C$1,imvol!N739)),"")</f>
        <v/>
      </c>
      <c r="S739" s="20" t="str">
        <f t="shared" si="55"/>
        <v/>
      </c>
    </row>
    <row r="740" spans="1:19" x14ac:dyDescent="0.3">
      <c r="A740" s="23" t="s">
        <v>674</v>
      </c>
      <c r="B740" s="23" t="s">
        <v>675</v>
      </c>
      <c r="C740" s="24" t="s">
        <v>23</v>
      </c>
      <c r="D740" s="24" t="s">
        <v>23</v>
      </c>
      <c r="E740" s="24" t="s">
        <v>23</v>
      </c>
      <c r="F740" s="24" t="s">
        <v>23</v>
      </c>
      <c r="G740" s="24" t="s">
        <v>23</v>
      </c>
      <c r="H740" s="24">
        <v>15</v>
      </c>
      <c r="I740" s="24">
        <v>30.55</v>
      </c>
      <c r="J740" s="25">
        <v>0</v>
      </c>
      <c r="K740" s="25">
        <v>0</v>
      </c>
      <c r="L740" s="25">
        <v>0</v>
      </c>
      <c r="M740" s="18">
        <f t="shared" si="60"/>
        <v>390</v>
      </c>
      <c r="N740" s="19">
        <f t="shared" si="61"/>
        <v>46366</v>
      </c>
      <c r="O740" s="18" t="b">
        <f t="shared" si="62"/>
        <v>0</v>
      </c>
      <c r="P740" s="43" t="str">
        <f>IF(O740,swap_curve!$B$19,"")</f>
        <v/>
      </c>
      <c r="Q740" t="str">
        <f t="shared" si="59"/>
        <v/>
      </c>
      <c r="R740" t="str" cm="1">
        <f t="array" ref="R740">IF(O740,BSCall(swap_curve!$B$20,imvol!M740,imvol!P740,imvol!Q740,YEARFRAC(swap_curve!$C$1,imvol!N740)),"")</f>
        <v/>
      </c>
      <c r="S740" s="20" t="str">
        <f t="shared" si="55"/>
        <v/>
      </c>
    </row>
    <row r="741" spans="1:19" x14ac:dyDescent="0.3">
      <c r="A741" s="23" t="s">
        <v>676</v>
      </c>
      <c r="B741" s="23" t="s">
        <v>677</v>
      </c>
      <c r="C741" s="24" t="s">
        <v>23</v>
      </c>
      <c r="D741" s="24" t="s">
        <v>23</v>
      </c>
      <c r="E741" s="24" t="s">
        <v>23</v>
      </c>
      <c r="F741" s="24" t="s">
        <v>23</v>
      </c>
      <c r="G741" s="24" t="s">
        <v>23</v>
      </c>
      <c r="H741" s="24">
        <v>15</v>
      </c>
      <c r="I741" s="24">
        <v>27.1</v>
      </c>
      <c r="J741" s="25">
        <v>0</v>
      </c>
      <c r="K741" s="25">
        <v>0</v>
      </c>
      <c r="L741" s="25">
        <v>0</v>
      </c>
      <c r="M741" s="18">
        <f t="shared" si="60"/>
        <v>400</v>
      </c>
      <c r="N741" s="19">
        <f t="shared" si="61"/>
        <v>46366</v>
      </c>
      <c r="O741" s="18" t="b">
        <f t="shared" si="62"/>
        <v>0</v>
      </c>
      <c r="P741" s="43" t="str">
        <f>IF(O741,swap_curve!$B$19,"")</f>
        <v/>
      </c>
      <c r="Q741" t="str">
        <f t="shared" si="59"/>
        <v/>
      </c>
      <c r="R741" t="str" cm="1">
        <f t="array" ref="R741">IF(O741,BSCall(swap_curve!$B$20,imvol!M741,imvol!P741,imvol!Q741,YEARFRAC(swap_curve!$C$1,imvol!N741)),"")</f>
        <v/>
      </c>
      <c r="S741" s="20" t="str">
        <f t="shared" si="55"/>
        <v/>
      </c>
    </row>
    <row r="742" spans="1:19" x14ac:dyDescent="0.3">
      <c r="A742" s="23" t="s">
        <v>678</v>
      </c>
      <c r="B742" s="23" t="s">
        <v>679</v>
      </c>
      <c r="C742" s="24" t="s">
        <v>23</v>
      </c>
      <c r="D742" s="24" t="s">
        <v>23</v>
      </c>
      <c r="E742" s="24" t="s">
        <v>23</v>
      </c>
      <c r="F742" s="24" t="s">
        <v>23</v>
      </c>
      <c r="G742" s="24" t="s">
        <v>23</v>
      </c>
      <c r="H742" s="24">
        <v>15</v>
      </c>
      <c r="I742" s="24">
        <v>23.65</v>
      </c>
      <c r="J742" s="25">
        <v>0</v>
      </c>
      <c r="K742" s="25">
        <v>0</v>
      </c>
      <c r="L742" s="25">
        <v>1</v>
      </c>
      <c r="M742" s="18">
        <f t="shared" si="60"/>
        <v>410</v>
      </c>
      <c r="N742" s="19">
        <f t="shared" si="61"/>
        <v>46366</v>
      </c>
      <c r="O742" s="18" t="b">
        <f t="shared" si="62"/>
        <v>0</v>
      </c>
      <c r="P742" s="43" t="str">
        <f>IF(O742,swap_curve!$B$19,"")</f>
        <v/>
      </c>
      <c r="Q742" t="str">
        <f t="shared" si="59"/>
        <v/>
      </c>
      <c r="R742" t="str" cm="1">
        <f t="array" ref="R742">IF(O742,BSCall(swap_curve!$B$20,imvol!M742,imvol!P742,imvol!Q742,YEARFRAC(swap_curve!$C$1,imvol!N742)),"")</f>
        <v/>
      </c>
      <c r="S742" s="20" t="str">
        <f t="shared" si="55"/>
        <v/>
      </c>
    </row>
    <row r="743" spans="1:19" x14ac:dyDescent="0.3">
      <c r="A743" s="23" t="s">
        <v>680</v>
      </c>
      <c r="B743" s="23" t="s">
        <v>681</v>
      </c>
      <c r="C743" s="24" t="s">
        <v>23</v>
      </c>
      <c r="D743" s="24" t="s">
        <v>23</v>
      </c>
      <c r="E743" s="24" t="s">
        <v>23</v>
      </c>
      <c r="F743" s="24" t="s">
        <v>23</v>
      </c>
      <c r="G743" s="24" t="s">
        <v>23</v>
      </c>
      <c r="H743" s="24">
        <v>15</v>
      </c>
      <c r="I743" s="24">
        <v>20.7</v>
      </c>
      <c r="J743" s="25">
        <v>0</v>
      </c>
      <c r="K743" s="25">
        <v>0</v>
      </c>
      <c r="L743" s="25">
        <v>3</v>
      </c>
      <c r="M743" s="18">
        <f t="shared" si="60"/>
        <v>420</v>
      </c>
      <c r="N743" s="19">
        <f t="shared" si="61"/>
        <v>46366</v>
      </c>
      <c r="O743" s="18" t="b">
        <f t="shared" si="62"/>
        <v>0</v>
      </c>
      <c r="P743" s="43" t="str">
        <f>IF(O743,swap_curve!$B$19,"")</f>
        <v/>
      </c>
      <c r="Q743" t="str">
        <f t="shared" si="59"/>
        <v/>
      </c>
      <c r="R743" t="str" cm="1">
        <f t="array" ref="R743">IF(O743,BSCall(swap_curve!$B$20,imvol!M743,imvol!P743,imvol!Q743,YEARFRAC(swap_curve!$C$1,imvol!N743)),"")</f>
        <v/>
      </c>
      <c r="S743" s="20" t="str">
        <f t="shared" si="55"/>
        <v/>
      </c>
    </row>
    <row r="744" spans="1:19" x14ac:dyDescent="0.3">
      <c r="A744" s="23" t="s">
        <v>682</v>
      </c>
      <c r="B744" s="23" t="s">
        <v>683</v>
      </c>
      <c r="C744" s="24" t="s">
        <v>23</v>
      </c>
      <c r="D744" s="24" t="s">
        <v>23</v>
      </c>
      <c r="E744" s="24" t="s">
        <v>23</v>
      </c>
      <c r="F744" s="24" t="s">
        <v>23</v>
      </c>
      <c r="G744" s="24" t="s">
        <v>23</v>
      </c>
      <c r="H744" s="24">
        <v>15</v>
      </c>
      <c r="I744" s="24">
        <v>18.2</v>
      </c>
      <c r="J744" s="25">
        <v>0</v>
      </c>
      <c r="K744" s="25">
        <v>0</v>
      </c>
      <c r="L744" s="25">
        <v>1</v>
      </c>
      <c r="M744" s="18">
        <f t="shared" si="60"/>
        <v>430</v>
      </c>
      <c r="N744" s="19">
        <f t="shared" si="61"/>
        <v>46366</v>
      </c>
      <c r="O744" s="18" t="b">
        <f t="shared" si="62"/>
        <v>0</v>
      </c>
      <c r="P744" s="43" t="str">
        <f>IF(O744,swap_curve!$B$19,"")</f>
        <v/>
      </c>
      <c r="Q744" t="str">
        <f t="shared" si="59"/>
        <v/>
      </c>
      <c r="R744" t="str" cm="1">
        <f t="array" ref="R744">IF(O744,BSCall(swap_curve!$B$20,imvol!M744,imvol!P744,imvol!Q744,YEARFRAC(swap_curve!$C$1,imvol!N744)),"")</f>
        <v/>
      </c>
      <c r="S744" s="20" t="str">
        <f t="shared" si="55"/>
        <v/>
      </c>
    </row>
    <row r="745" spans="1:19" x14ac:dyDescent="0.3">
      <c r="A745" s="23" t="s">
        <v>684</v>
      </c>
      <c r="B745" s="23" t="s">
        <v>685</v>
      </c>
      <c r="C745" s="24" t="s">
        <v>23</v>
      </c>
      <c r="D745" s="24" t="s">
        <v>23</v>
      </c>
      <c r="E745" s="24" t="s">
        <v>23</v>
      </c>
      <c r="F745" s="24" t="s">
        <v>23</v>
      </c>
      <c r="G745" s="24" t="s">
        <v>23</v>
      </c>
      <c r="H745" s="24">
        <v>15</v>
      </c>
      <c r="I745" s="24">
        <v>15.65</v>
      </c>
      <c r="J745" s="25">
        <v>0</v>
      </c>
      <c r="K745" s="25">
        <v>0</v>
      </c>
      <c r="L745" s="25">
        <v>0</v>
      </c>
      <c r="M745" s="18">
        <f t="shared" si="60"/>
        <v>440</v>
      </c>
      <c r="N745" s="19">
        <f t="shared" si="61"/>
        <v>46366</v>
      </c>
      <c r="O745" s="18" t="b">
        <f t="shared" si="62"/>
        <v>0</v>
      </c>
      <c r="P745" s="43" t="str">
        <f>IF(O745,swap_curve!$B$19,"")</f>
        <v/>
      </c>
      <c r="Q745" t="str">
        <f t="shared" si="59"/>
        <v/>
      </c>
      <c r="R745" t="str" cm="1">
        <f t="array" ref="R745">IF(O745,BSCall(swap_curve!$B$20,imvol!M745,imvol!P745,imvol!Q745,YEARFRAC(swap_curve!$C$1,imvol!N745)),"")</f>
        <v/>
      </c>
      <c r="S745" s="20" t="str">
        <f t="shared" si="55"/>
        <v/>
      </c>
    </row>
    <row r="746" spans="1:19" x14ac:dyDescent="0.3">
      <c r="A746" s="23" t="s">
        <v>686</v>
      </c>
      <c r="B746" s="23" t="s">
        <v>687</v>
      </c>
      <c r="C746" s="24" t="s">
        <v>23</v>
      </c>
      <c r="D746" s="24" t="s">
        <v>23</v>
      </c>
      <c r="E746" s="24" t="s">
        <v>23</v>
      </c>
      <c r="F746" s="24" t="s">
        <v>23</v>
      </c>
      <c r="G746" s="24" t="s">
        <v>23</v>
      </c>
      <c r="H746" s="24">
        <v>15</v>
      </c>
      <c r="I746" s="24">
        <v>13.6</v>
      </c>
      <c r="J746" s="25">
        <v>0</v>
      </c>
      <c r="K746" s="25">
        <v>0</v>
      </c>
      <c r="L746" s="25">
        <v>0</v>
      </c>
      <c r="M746" s="18">
        <f t="shared" si="60"/>
        <v>450</v>
      </c>
      <c r="N746" s="19">
        <f t="shared" si="61"/>
        <v>46366</v>
      </c>
      <c r="O746" s="18" t="b">
        <f t="shared" si="62"/>
        <v>0</v>
      </c>
      <c r="P746" s="43" t="str">
        <f>IF(O746,swap_curve!$B$19,"")</f>
        <v/>
      </c>
      <c r="Q746" t="str">
        <f t="shared" si="59"/>
        <v/>
      </c>
      <c r="R746" t="str" cm="1">
        <f t="array" ref="R746">IF(O746,BSCall(swap_curve!$B$20,imvol!M746,imvol!P746,imvol!Q746,YEARFRAC(swap_curve!$C$1,imvol!N746)),"")</f>
        <v/>
      </c>
      <c r="S746" s="20" t="str">
        <f t="shared" si="55"/>
        <v/>
      </c>
    </row>
    <row r="747" spans="1:19" x14ac:dyDescent="0.3">
      <c r="A747" s="23" t="s">
        <v>688</v>
      </c>
      <c r="B747" s="23" t="s">
        <v>689</v>
      </c>
      <c r="C747" s="24" t="s">
        <v>23</v>
      </c>
      <c r="D747" s="24" t="s">
        <v>23</v>
      </c>
      <c r="E747" s="24" t="s">
        <v>23</v>
      </c>
      <c r="F747" s="24" t="s">
        <v>23</v>
      </c>
      <c r="G747" s="24" t="s">
        <v>23</v>
      </c>
      <c r="H747" s="24">
        <v>15</v>
      </c>
      <c r="I747" s="24">
        <v>11.9</v>
      </c>
      <c r="J747" s="25">
        <v>0</v>
      </c>
      <c r="K747" s="25">
        <v>0</v>
      </c>
      <c r="L747" s="25">
        <v>2</v>
      </c>
      <c r="M747" s="18">
        <f t="shared" si="60"/>
        <v>460</v>
      </c>
      <c r="N747" s="19">
        <f t="shared" si="61"/>
        <v>46366</v>
      </c>
      <c r="O747" s="18" t="b">
        <f t="shared" si="62"/>
        <v>0</v>
      </c>
      <c r="P747" s="43" t="str">
        <f>IF(O747,swap_curve!$B$19,"")</f>
        <v/>
      </c>
      <c r="Q747" t="str">
        <f t="shared" si="59"/>
        <v/>
      </c>
      <c r="R747" t="str" cm="1">
        <f t="array" ref="R747">IF(O747,BSCall(swap_curve!$B$20,imvol!M747,imvol!P747,imvol!Q747,YEARFRAC(swap_curve!$C$1,imvol!N747)),"")</f>
        <v/>
      </c>
      <c r="S747" s="20" t="str">
        <f t="shared" si="55"/>
        <v/>
      </c>
    </row>
    <row r="748" spans="1:19" x14ac:dyDescent="0.3">
      <c r="A748" s="23" t="s">
        <v>690</v>
      </c>
      <c r="B748" s="23" t="s">
        <v>691</v>
      </c>
      <c r="C748" s="24" t="s">
        <v>23</v>
      </c>
      <c r="D748" s="24" t="s">
        <v>23</v>
      </c>
      <c r="E748" s="24" t="s">
        <v>23</v>
      </c>
      <c r="F748" s="24" t="s">
        <v>23</v>
      </c>
      <c r="G748" s="24" t="s">
        <v>23</v>
      </c>
      <c r="H748" s="24">
        <v>15</v>
      </c>
      <c r="I748" s="24">
        <v>10.15</v>
      </c>
      <c r="J748" s="25">
        <v>0</v>
      </c>
      <c r="K748" s="25">
        <v>0</v>
      </c>
      <c r="L748" s="25">
        <v>5</v>
      </c>
      <c r="M748" s="18">
        <f t="shared" si="60"/>
        <v>470</v>
      </c>
      <c r="N748" s="19">
        <f t="shared" si="61"/>
        <v>46366</v>
      </c>
      <c r="O748" s="18" t="b">
        <f t="shared" si="62"/>
        <v>0</v>
      </c>
      <c r="P748" s="43" t="str">
        <f>IF(O748,swap_curve!$B$19,"")</f>
        <v/>
      </c>
      <c r="Q748" t="str">
        <f t="shared" si="59"/>
        <v/>
      </c>
      <c r="R748" t="str" cm="1">
        <f t="array" ref="R748">IF(O748,BSCall(swap_curve!$B$20,imvol!M748,imvol!P748,imvol!Q748,YEARFRAC(swap_curve!$C$1,imvol!N748)),"")</f>
        <v/>
      </c>
      <c r="S748" s="20" t="str">
        <f t="shared" si="55"/>
        <v/>
      </c>
    </row>
    <row r="749" spans="1:19" x14ac:dyDescent="0.3">
      <c r="A749" s="23" t="s">
        <v>1518</v>
      </c>
      <c r="B749" s="23" t="s">
        <v>1519</v>
      </c>
      <c r="C749" s="24" t="s">
        <v>23</v>
      </c>
      <c r="D749" s="24" t="s">
        <v>23</v>
      </c>
      <c r="E749" s="24" t="s">
        <v>23</v>
      </c>
      <c r="F749" s="24" t="s">
        <v>23</v>
      </c>
      <c r="G749" s="24" t="s">
        <v>23</v>
      </c>
      <c r="H749" s="24">
        <v>15</v>
      </c>
      <c r="I749" s="24">
        <v>8.69</v>
      </c>
      <c r="J749" s="25">
        <v>0</v>
      </c>
      <c r="K749" s="25">
        <v>0</v>
      </c>
      <c r="L749" s="25">
        <v>7</v>
      </c>
      <c r="M749" s="18">
        <f t="shared" si="60"/>
        <v>480</v>
      </c>
      <c r="N749" s="19">
        <f t="shared" si="61"/>
        <v>46366</v>
      </c>
      <c r="O749" s="18" t="b">
        <f t="shared" si="62"/>
        <v>0</v>
      </c>
      <c r="P749" s="43" t="str">
        <f>IF(O749,swap_curve!$B$19,"")</f>
        <v/>
      </c>
      <c r="Q749" t="str">
        <f t="shared" si="59"/>
        <v/>
      </c>
      <c r="R749" t="str" cm="1">
        <f t="array" ref="R749">IF(O749,BSCall(swap_curve!$B$20,imvol!M749,imvol!P749,imvol!Q749,YEARFRAC(swap_curve!$C$1,imvol!N749)),"")</f>
        <v/>
      </c>
      <c r="S749" s="20" t="str">
        <f t="shared" si="55"/>
        <v/>
      </c>
    </row>
    <row r="750" spans="1:19" x14ac:dyDescent="0.3">
      <c r="A750" s="23" t="s">
        <v>1520</v>
      </c>
      <c r="B750" s="23" t="s">
        <v>1521</v>
      </c>
      <c r="C750" s="24" t="s">
        <v>23</v>
      </c>
      <c r="D750" s="24" t="s">
        <v>23</v>
      </c>
      <c r="E750" s="24" t="s">
        <v>23</v>
      </c>
      <c r="F750" s="24" t="s">
        <v>23</v>
      </c>
      <c r="G750" s="24" t="s">
        <v>23</v>
      </c>
      <c r="H750" s="24">
        <v>15</v>
      </c>
      <c r="I750" s="24">
        <v>7.59</v>
      </c>
      <c r="J750" s="25">
        <v>0</v>
      </c>
      <c r="K750" s="25">
        <v>0</v>
      </c>
      <c r="L750" s="25">
        <v>7</v>
      </c>
      <c r="M750" s="18">
        <f t="shared" si="60"/>
        <v>490</v>
      </c>
      <c r="N750" s="19">
        <f t="shared" si="61"/>
        <v>46366</v>
      </c>
      <c r="O750" s="18" t="b">
        <f t="shared" si="62"/>
        <v>0</v>
      </c>
      <c r="P750" s="43" t="str">
        <f>IF(O750,swap_curve!$B$19,"")</f>
        <v/>
      </c>
      <c r="Q750" t="str">
        <f t="shared" si="59"/>
        <v/>
      </c>
      <c r="R750" t="str" cm="1">
        <f t="array" ref="R750">IF(O750,BSCall(swap_curve!$B$20,imvol!M750,imvol!P750,imvol!Q750,YEARFRAC(swap_curve!$C$1,imvol!N750)),"")</f>
        <v/>
      </c>
      <c r="S750" s="20" t="str">
        <f t="shared" si="55"/>
        <v/>
      </c>
    </row>
    <row r="751" spans="1:19" x14ac:dyDescent="0.3">
      <c r="A751" s="23" t="s">
        <v>1522</v>
      </c>
      <c r="B751" s="23" t="s">
        <v>1523</v>
      </c>
      <c r="C751" s="24">
        <v>6.44</v>
      </c>
      <c r="D751" s="24">
        <v>0.6</v>
      </c>
      <c r="E751" s="24">
        <v>6.41</v>
      </c>
      <c r="F751" s="24">
        <v>6.44</v>
      </c>
      <c r="G751" s="24">
        <v>6.24</v>
      </c>
      <c r="H751" s="24">
        <v>15</v>
      </c>
      <c r="I751" s="24">
        <v>6.44</v>
      </c>
      <c r="J751" s="25">
        <v>11</v>
      </c>
      <c r="K751" s="25">
        <v>18</v>
      </c>
      <c r="L751" s="25">
        <v>25</v>
      </c>
      <c r="M751" s="18">
        <f t="shared" si="60"/>
        <v>500</v>
      </c>
      <c r="N751" s="19">
        <f t="shared" si="61"/>
        <v>46366</v>
      </c>
      <c r="O751" s="18" t="b">
        <f t="shared" si="62"/>
        <v>0</v>
      </c>
      <c r="P751" s="43" t="str">
        <f>IF(O751,swap_curve!$B$19,"")</f>
        <v/>
      </c>
      <c r="Q751" t="str">
        <f t="shared" si="59"/>
        <v/>
      </c>
      <c r="R751" t="str" cm="1">
        <f t="array" ref="R751">IF(O751,BSCall(swap_curve!$B$20,imvol!M751,imvol!P751,imvol!Q751,YEARFRAC(swap_curve!$C$1,imvol!N751)),"")</f>
        <v/>
      </c>
      <c r="S751" s="20" t="str">
        <f t="shared" si="55"/>
        <v/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C99BE-50E0-41D3-A667-DC5179B0EECE}">
  <sheetPr codeName="Sheet5"/>
  <dimension ref="F7:AI31"/>
  <sheetViews>
    <sheetView topLeftCell="F1" zoomScale="84" zoomScaleNormal="84" workbookViewId="0">
      <selection activeCell="G24" sqref="G24"/>
    </sheetView>
  </sheetViews>
  <sheetFormatPr defaultRowHeight="16.5" x14ac:dyDescent="0.3"/>
  <cols>
    <col min="6" max="6" width="15.125" bestFit="1" customWidth="1"/>
    <col min="7" max="7" width="20.5" bestFit="1" customWidth="1"/>
  </cols>
  <sheetData>
    <row r="7" spans="6:35" x14ac:dyDescent="0.3">
      <c r="G7">
        <f t="array" ref="G7:S7">TRANSPOSE(imvol!M62:M81)</f>
        <v>355</v>
      </c>
      <c r="H7">
        <v>357.5</v>
      </c>
      <c r="I7">
        <v>360</v>
      </c>
      <c r="J7">
        <v>362.5</v>
      </c>
      <c r="K7">
        <v>365</v>
      </c>
      <c r="L7">
        <v>367.5</v>
      </c>
      <c r="M7">
        <v>370</v>
      </c>
      <c r="N7">
        <v>372.5</v>
      </c>
      <c r="O7">
        <v>375</v>
      </c>
      <c r="P7">
        <v>377.5</v>
      </c>
      <c r="Q7">
        <v>380</v>
      </c>
      <c r="R7">
        <v>382.5</v>
      </c>
      <c r="S7">
        <v>385</v>
      </c>
      <c r="T7">
        <v>387.5</v>
      </c>
      <c r="U7">
        <v>390</v>
      </c>
      <c r="V7">
        <v>392.5</v>
      </c>
      <c r="W7">
        <v>395</v>
      </c>
      <c r="X7">
        <v>397.5</v>
      </c>
      <c r="Y7">
        <v>400</v>
      </c>
      <c r="Z7">
        <v>402.5</v>
      </c>
      <c r="AA7">
        <v>405</v>
      </c>
      <c r="AB7">
        <v>407.5</v>
      </c>
      <c r="AC7">
        <v>410</v>
      </c>
      <c r="AD7">
        <v>412.5</v>
      </c>
      <c r="AE7">
        <v>415</v>
      </c>
      <c r="AF7">
        <v>417.5</v>
      </c>
      <c r="AG7">
        <v>420</v>
      </c>
      <c r="AH7">
        <v>422.5</v>
      </c>
      <c r="AI7">
        <v>425</v>
      </c>
    </row>
    <row r="8" spans="6:35" x14ac:dyDescent="0.3">
      <c r="F8" s="1">
        <v>45421</v>
      </c>
      <c r="G8">
        <f t="array" ref="G8:Z8">TRANSPOSE(imvol!Q62:Q81)</f>
        <v>0.31305968789667477</v>
      </c>
      <c r="H8">
        <v>0.32176261701802639</v>
      </c>
      <c r="I8">
        <v>0.33121807537038433</v>
      </c>
      <c r="J8">
        <v>0.34380066017593053</v>
      </c>
      <c r="K8">
        <v>0.34181112927454865</v>
      </c>
      <c r="L8">
        <v>0.35251650091315062</v>
      </c>
      <c r="M8">
        <v>0.35856136286864482</v>
      </c>
      <c r="N8">
        <v>0.36022206483042402</v>
      </c>
      <c r="O8">
        <v>0.36171791545564241</v>
      </c>
      <c r="P8">
        <v>0.36442960713779793</v>
      </c>
      <c r="Q8">
        <v>0.36600648044946948</v>
      </c>
      <c r="R8">
        <v>0.36886129118733402</v>
      </c>
      <c r="S8">
        <v>0.37736554325370553</v>
      </c>
      <c r="T8">
        <v>0.38153614013536374</v>
      </c>
      <c r="U8">
        <v>0.39713559341134952</v>
      </c>
      <c r="V8">
        <v>0.40311937201271286</v>
      </c>
      <c r="W8">
        <v>0.43390656304320924</v>
      </c>
      <c r="X8">
        <v>0.41270575027154716</v>
      </c>
      <c r="Y8">
        <v>0.43992578213702449</v>
      </c>
      <c r="Z8">
        <v>0.46681285562355868</v>
      </c>
    </row>
    <row r="9" spans="6:35" x14ac:dyDescent="0.3">
      <c r="F9" s="1">
        <v>45456</v>
      </c>
      <c r="K9">
        <v>0.17978657767022735</v>
      </c>
      <c r="M9">
        <v>0.17771547320829745</v>
      </c>
      <c r="O9">
        <f t="array" ref="O9:AC9">TRANSPOSE(imvol!Q199:Q213)</f>
        <v>0.17862135338511095</v>
      </c>
      <c r="P9">
        <v>0.17795908295816698</v>
      </c>
      <c r="Q9">
        <v>0.17589281404729293</v>
      </c>
      <c r="R9">
        <v>0.17511765437429216</v>
      </c>
      <c r="S9">
        <v>0.17466371397710487</v>
      </c>
      <c r="T9">
        <v>0.17493694695046053</v>
      </c>
      <c r="U9">
        <v>0.17537036797422081</v>
      </c>
      <c r="V9">
        <v>0.17505623619976052</v>
      </c>
      <c r="W9">
        <v>0.17510002358027055</v>
      </c>
      <c r="X9">
        <v>0.17614843130873512</v>
      </c>
      <c r="Y9">
        <v>0.17636054226135356</v>
      </c>
      <c r="Z9">
        <v>0.17656490616122369</v>
      </c>
      <c r="AA9">
        <v>0.1782947023289923</v>
      </c>
      <c r="AB9">
        <v>0.17938789132689892</v>
      </c>
      <c r="AC9">
        <v>0.18129050821480838</v>
      </c>
    </row>
    <row r="10" spans="6:35" x14ac:dyDescent="0.3">
      <c r="F10" s="1">
        <v>45484</v>
      </c>
      <c r="M10">
        <v>0.16081551315101034</v>
      </c>
      <c r="P10">
        <v>0.16169176474613028</v>
      </c>
      <c r="S10">
        <v>0.16121643879836961</v>
      </c>
      <c r="Y10">
        <v>0.16390476519597133</v>
      </c>
    </row>
    <row r="11" spans="6:35" x14ac:dyDescent="0.3">
      <c r="F11" s="1">
        <v>45512</v>
      </c>
      <c r="AE11">
        <v>0.16384553923019596</v>
      </c>
      <c r="AG11">
        <v>0.16520690151314246</v>
      </c>
      <c r="AI11">
        <v>0.16684742752827977</v>
      </c>
    </row>
    <row r="12" spans="6:35" x14ac:dyDescent="0.3">
      <c r="F12" s="1">
        <v>45547</v>
      </c>
      <c r="Q12">
        <v>0.15498542376874394</v>
      </c>
      <c r="S12">
        <v>0.16109637406386831</v>
      </c>
      <c r="Y12">
        <v>0.16126504089314783</v>
      </c>
    </row>
    <row r="14" spans="6:35" x14ac:dyDescent="0.3">
      <c r="G14">
        <v>355</v>
      </c>
      <c r="H14">
        <v>357.5</v>
      </c>
      <c r="I14">
        <v>360</v>
      </c>
      <c r="J14">
        <v>362.5</v>
      </c>
      <c r="K14">
        <v>365</v>
      </c>
      <c r="L14">
        <v>367.5</v>
      </c>
      <c r="M14">
        <v>370</v>
      </c>
      <c r="N14">
        <v>372.5</v>
      </c>
      <c r="O14">
        <v>375</v>
      </c>
      <c r="P14">
        <v>377.5</v>
      </c>
      <c r="Q14">
        <v>380</v>
      </c>
      <c r="R14">
        <v>382.5</v>
      </c>
      <c r="S14">
        <v>385</v>
      </c>
      <c r="T14">
        <v>387.5</v>
      </c>
      <c r="U14">
        <v>390</v>
      </c>
      <c r="V14">
        <v>392.5</v>
      </c>
      <c r="W14">
        <v>395</v>
      </c>
      <c r="X14">
        <v>397.5</v>
      </c>
      <c r="Y14">
        <v>400</v>
      </c>
      <c r="Z14">
        <v>402.5</v>
      </c>
      <c r="AA14">
        <v>405</v>
      </c>
      <c r="AB14">
        <v>407.5</v>
      </c>
      <c r="AC14">
        <v>410</v>
      </c>
      <c r="AD14">
        <v>412.5</v>
      </c>
      <c r="AE14">
        <v>415</v>
      </c>
      <c r="AF14">
        <v>417.5</v>
      </c>
      <c r="AG14">
        <v>420</v>
      </c>
      <c r="AH14">
        <v>422.5</v>
      </c>
      <c r="AI14">
        <v>425</v>
      </c>
    </row>
    <row r="15" spans="6:35" x14ac:dyDescent="0.3">
      <c r="F15" s="1">
        <v>45421</v>
      </c>
      <c r="G15">
        <v>0.31305968789667477</v>
      </c>
      <c r="H15">
        <v>0.32176261701802639</v>
      </c>
      <c r="I15">
        <v>0.33121807537038433</v>
      </c>
      <c r="J15">
        <v>0.34380066017593053</v>
      </c>
      <c r="K15">
        <v>0.34181112927454865</v>
      </c>
      <c r="L15">
        <v>0.35251650091315062</v>
      </c>
      <c r="M15">
        <v>0.35856136286864482</v>
      </c>
      <c r="N15">
        <v>0.36022206483042402</v>
      </c>
      <c r="O15">
        <v>0.36171791545564241</v>
      </c>
      <c r="P15">
        <v>0.36442960713779793</v>
      </c>
      <c r="Q15">
        <v>0.36600648044946948</v>
      </c>
      <c r="R15">
        <v>0.36886129118733402</v>
      </c>
      <c r="S15">
        <v>0.37736554325370553</v>
      </c>
      <c r="T15">
        <v>0.38153614013536374</v>
      </c>
      <c r="U15">
        <v>0.39713559341134952</v>
      </c>
      <c r="V15">
        <v>0.40311937201271286</v>
      </c>
      <c r="W15">
        <v>0.43390656304320924</v>
      </c>
      <c r="X15">
        <v>0.41270575027154716</v>
      </c>
      <c r="Y15">
        <v>0.43992578213702449</v>
      </c>
      <c r="Z15">
        <v>0.46681285562355868</v>
      </c>
      <c r="AA15" s="26">
        <f>Z15</f>
        <v>0.46681285562355868</v>
      </c>
      <c r="AB15" s="26">
        <f t="shared" ref="AB15:AI15" si="0">AA15</f>
        <v>0.46681285562355868</v>
      </c>
      <c r="AC15" s="26">
        <f t="shared" si="0"/>
        <v>0.46681285562355868</v>
      </c>
      <c r="AD15" s="26">
        <f t="shared" si="0"/>
        <v>0.46681285562355868</v>
      </c>
      <c r="AE15" s="26">
        <f t="shared" si="0"/>
        <v>0.46681285562355868</v>
      </c>
      <c r="AF15" s="26">
        <f t="shared" si="0"/>
        <v>0.46681285562355868</v>
      </c>
      <c r="AG15" s="26">
        <f t="shared" si="0"/>
        <v>0.46681285562355868</v>
      </c>
      <c r="AH15" s="26">
        <f t="shared" si="0"/>
        <v>0.46681285562355868</v>
      </c>
      <c r="AI15" s="26">
        <f t="shared" si="0"/>
        <v>0.46681285562355868</v>
      </c>
    </row>
    <row r="16" spans="6:35" x14ac:dyDescent="0.3">
      <c r="F16" s="1">
        <v>45456</v>
      </c>
      <c r="G16" s="26">
        <f t="shared" ref="G16:I16" si="1">H16</f>
        <v>0.17978657767022735</v>
      </c>
      <c r="H16" s="26">
        <f t="shared" si="1"/>
        <v>0.17978657767022735</v>
      </c>
      <c r="I16" s="26">
        <f t="shared" si="1"/>
        <v>0.17978657767022735</v>
      </c>
      <c r="J16" s="26">
        <f>K16</f>
        <v>0.17978657767022735</v>
      </c>
      <c r="K16" s="27">
        <v>0.17978657767022735</v>
      </c>
      <c r="L16" s="26">
        <f>(M16-K16)/5*2.5+K16</f>
        <v>0.17875102543926241</v>
      </c>
      <c r="M16">
        <v>0.17771547320829745</v>
      </c>
      <c r="N16" s="28">
        <f>(O16-M16)/5*2.5+M16</f>
        <v>0.17816841329670419</v>
      </c>
      <c r="O16">
        <v>0.17862135338511095</v>
      </c>
      <c r="P16">
        <v>0.17795908295816698</v>
      </c>
      <c r="Q16">
        <v>0.17589281404729293</v>
      </c>
      <c r="R16">
        <v>0.17511765437429216</v>
      </c>
      <c r="S16">
        <v>0.17466371397710487</v>
      </c>
      <c r="T16">
        <v>0.17493694695046053</v>
      </c>
      <c r="U16" s="27">
        <v>0.17537036797422081</v>
      </c>
      <c r="V16">
        <v>0.17505623619976052</v>
      </c>
      <c r="W16">
        <v>0.17510002358027055</v>
      </c>
      <c r="X16">
        <v>0.17614843130873512</v>
      </c>
      <c r="Y16">
        <v>0.17636054226135356</v>
      </c>
      <c r="Z16">
        <v>0.17656490616122369</v>
      </c>
      <c r="AA16">
        <v>0.1782947023289923</v>
      </c>
      <c r="AB16">
        <v>0.17938789132689892</v>
      </c>
      <c r="AC16" s="27">
        <v>0.18129050821480838</v>
      </c>
      <c r="AD16" s="26">
        <f>AC16</f>
        <v>0.18129050821480838</v>
      </c>
      <c r="AE16" s="26">
        <f t="shared" ref="AE16:AI16" si="2">AD16</f>
        <v>0.18129050821480838</v>
      </c>
      <c r="AF16" s="26">
        <f t="shared" si="2"/>
        <v>0.18129050821480838</v>
      </c>
      <c r="AG16" s="26">
        <f t="shared" si="2"/>
        <v>0.18129050821480838</v>
      </c>
      <c r="AH16" s="26">
        <f t="shared" si="2"/>
        <v>0.18129050821480838</v>
      </c>
      <c r="AI16" s="26">
        <f t="shared" si="2"/>
        <v>0.18129050821480838</v>
      </c>
    </row>
    <row r="17" spans="6:35" x14ac:dyDescent="0.3">
      <c r="F17" s="1">
        <v>45484</v>
      </c>
      <c r="G17" s="26">
        <f t="shared" ref="G17:K17" si="3">H17</f>
        <v>0.16081551315101034</v>
      </c>
      <c r="H17" s="26">
        <f t="shared" si="3"/>
        <v>0.16081551315101034</v>
      </c>
      <c r="I17" s="26">
        <f t="shared" si="3"/>
        <v>0.16081551315101034</v>
      </c>
      <c r="J17" s="26">
        <f t="shared" si="3"/>
        <v>0.16081551315101034</v>
      </c>
      <c r="K17" s="26">
        <f t="shared" si="3"/>
        <v>0.16081551315101034</v>
      </c>
      <c r="L17" s="26">
        <f>M17</f>
        <v>0.16081551315101034</v>
      </c>
      <c r="M17">
        <v>0.16081551315101034</v>
      </c>
      <c r="N17" s="26">
        <f>(P17-M17)/7.5*2.5+M17</f>
        <v>0.16110759701605032</v>
      </c>
      <c r="O17" s="26">
        <f>N17+(P17-M17)/7.5*2.5</f>
        <v>0.1613996808810903</v>
      </c>
      <c r="P17">
        <v>0.16169176474613028</v>
      </c>
      <c r="Q17" s="26">
        <f>(S17-P17)/7.5*2.5+P17</f>
        <v>0.1615333227635434</v>
      </c>
      <c r="R17" s="26">
        <f>Q17+(S17-P17)/7.5*2.5</f>
        <v>0.16137488078095652</v>
      </c>
      <c r="S17">
        <v>0.16121643879836961</v>
      </c>
      <c r="T17" s="26">
        <f>(Y17-S17)/(15)*2.5+S17</f>
        <v>0.16166449319796988</v>
      </c>
      <c r="U17" s="26">
        <f>T17+(Y17-S17)/(15)*2.5</f>
        <v>0.16211254759757016</v>
      </c>
      <c r="V17" s="26">
        <f>U17+(Y17-S17)/(15)*2.5</f>
        <v>0.16256060199717043</v>
      </c>
      <c r="W17" s="26">
        <f>V17+(Y17-S17)/(15)*2.5</f>
        <v>0.1630086563967707</v>
      </c>
      <c r="X17" s="26">
        <f>W17+(Y17-S17)/(15)*2.5</f>
        <v>0.16345671079637097</v>
      </c>
      <c r="Y17">
        <v>0.16390476519597133</v>
      </c>
      <c r="Z17" s="26">
        <f>Y17</f>
        <v>0.16390476519597133</v>
      </c>
      <c r="AA17" s="26">
        <f t="shared" ref="AA17:AI17" si="4">Z17</f>
        <v>0.16390476519597133</v>
      </c>
      <c r="AB17" s="26">
        <f t="shared" si="4"/>
        <v>0.16390476519597133</v>
      </c>
      <c r="AC17" s="26">
        <f t="shared" si="4"/>
        <v>0.16390476519597133</v>
      </c>
      <c r="AD17" s="26">
        <f t="shared" si="4"/>
        <v>0.16390476519597133</v>
      </c>
      <c r="AE17" s="26">
        <f t="shared" si="4"/>
        <v>0.16390476519597133</v>
      </c>
      <c r="AF17" s="26">
        <f t="shared" si="4"/>
        <v>0.16390476519597133</v>
      </c>
      <c r="AG17" s="26">
        <f t="shared" si="4"/>
        <v>0.16390476519597133</v>
      </c>
      <c r="AH17" s="26">
        <f t="shared" si="4"/>
        <v>0.16390476519597133</v>
      </c>
      <c r="AI17" s="26">
        <f t="shared" si="4"/>
        <v>0.16390476519597133</v>
      </c>
    </row>
    <row r="18" spans="6:35" x14ac:dyDescent="0.3">
      <c r="F18" s="1">
        <v>45512</v>
      </c>
      <c r="G18" s="26">
        <v>0.16384553923019596</v>
      </c>
      <c r="H18" s="26">
        <v>0.16384553923019596</v>
      </c>
      <c r="I18" s="26">
        <v>0.16384553923019596</v>
      </c>
      <c r="J18" s="26">
        <v>0.16384553923019596</v>
      </c>
      <c r="K18" s="26">
        <v>0.16384553923019596</v>
      </c>
      <c r="L18" s="26">
        <v>0.16384553923019596</v>
      </c>
      <c r="M18" s="26">
        <v>0.16384553923019596</v>
      </c>
      <c r="N18" s="26">
        <v>0.16384553923019596</v>
      </c>
      <c r="O18" s="26">
        <v>0.16384553923019596</v>
      </c>
      <c r="P18" s="26">
        <v>0.16384553923019596</v>
      </c>
      <c r="Q18" s="26">
        <v>0.16384553923019596</v>
      </c>
      <c r="R18" s="26">
        <v>0.16384553923019596</v>
      </c>
      <c r="S18" s="26">
        <v>0.16384553923019596</v>
      </c>
      <c r="T18" s="26">
        <v>0.16384553923019596</v>
      </c>
      <c r="U18" s="26">
        <v>0.16384553923019596</v>
      </c>
      <c r="V18" s="26">
        <v>0.16384553923019596</v>
      </c>
      <c r="W18" s="26">
        <v>0.16384553923019596</v>
      </c>
      <c r="X18" s="26">
        <v>0.16384553923019596</v>
      </c>
      <c r="Y18" s="26">
        <v>0.16384553923019596</v>
      </c>
      <c r="Z18" s="26">
        <v>0.16384553923019596</v>
      </c>
      <c r="AA18" s="26">
        <v>0.16384553923019596</v>
      </c>
      <c r="AB18" s="26">
        <v>0.16384553923019596</v>
      </c>
      <c r="AC18" s="26">
        <v>0.16384553923019596</v>
      </c>
      <c r="AD18" s="26">
        <v>0.16384553923019596</v>
      </c>
      <c r="AE18">
        <v>0.16384553923019596</v>
      </c>
      <c r="AF18" s="26">
        <f>(AG18-AE18)/5*2.5+AE18</f>
        <v>0.1645262203716692</v>
      </c>
      <c r="AG18">
        <v>0.16520690151314246</v>
      </c>
      <c r="AH18" s="26">
        <f>(AI18-AG18)/5*2.5+AG18</f>
        <v>0.16602716452071112</v>
      </c>
      <c r="AI18">
        <v>0.16684742752827977</v>
      </c>
    </row>
    <row r="19" spans="6:35" x14ac:dyDescent="0.3">
      <c r="F19" s="1">
        <v>45547</v>
      </c>
      <c r="G19" s="26">
        <v>0.15498542376874394</v>
      </c>
      <c r="H19" s="26">
        <v>0.15498542376874394</v>
      </c>
      <c r="I19" s="26">
        <v>0.15498542376874394</v>
      </c>
      <c r="J19" s="26">
        <v>0.15498542376874394</v>
      </c>
      <c r="K19" s="26">
        <v>0.15498542376874394</v>
      </c>
      <c r="L19" s="26">
        <v>0.15498542376874394</v>
      </c>
      <c r="M19" s="26">
        <v>0.15498542376874394</v>
      </c>
      <c r="N19" s="26">
        <v>0.15498542376874394</v>
      </c>
      <c r="O19" s="26">
        <v>0.15498542376874394</v>
      </c>
      <c r="P19" s="26">
        <v>0.15498542376874394</v>
      </c>
      <c r="Q19">
        <v>0.15498542376874394</v>
      </c>
      <c r="R19" s="26">
        <f>(S19-Q19)/5*2.5+Q19</f>
        <v>0.15804089891630613</v>
      </c>
      <c r="S19">
        <v>0.16109637406386831</v>
      </c>
      <c r="T19" s="26">
        <f>(Y19-S19)/(Y14-S14)*2.5+S19</f>
        <v>0.16112448520208156</v>
      </c>
      <c r="U19" s="26">
        <f>(Y19-S19)/(Y14-S14)*2.5+T19</f>
        <v>0.1611525963402948</v>
      </c>
      <c r="V19" s="26">
        <f>(Y19-S19)/(Y14-S14)*2.5+U19</f>
        <v>0.16118070747850805</v>
      </c>
      <c r="W19" s="26">
        <f>(Y19-S19)/(Y14-S14)*2.5+V19</f>
        <v>0.16120881861672129</v>
      </c>
      <c r="X19" s="26">
        <f>(Y19-S19)/(Y14-S14)*2.5+W19</f>
        <v>0.16123692975493453</v>
      </c>
      <c r="Y19">
        <v>0.16126504089314783</v>
      </c>
      <c r="Z19" s="26">
        <f>(Y19-S19)/(Y14-S14)*2.5+Y19</f>
        <v>0.16129315203136108</v>
      </c>
      <c r="AA19" s="26">
        <f>(Y19-S19)/(Y14-S14)*2.5+Z19</f>
        <v>0.16132126316957432</v>
      </c>
      <c r="AB19" s="26">
        <f>(Y19-S19)/(Y14-S14)*2.5+AA19</f>
        <v>0.16134937430778756</v>
      </c>
      <c r="AC19" s="26">
        <f>(Y19-S19)/(Y14-S14)*2.5+AB19</f>
        <v>0.16137748544600081</v>
      </c>
      <c r="AD19" s="26">
        <f>(Y19-S19)/(Y14-S14)*2.5+AC19</f>
        <v>0.16140559658421405</v>
      </c>
      <c r="AE19" s="26">
        <f>(Y19-S19)/(Y14-S14)*2.5+AD19</f>
        <v>0.16143370772242729</v>
      </c>
      <c r="AF19" s="26">
        <f>(Y19-S19)/(Y14-S14)*2.5+AE19</f>
        <v>0.16146181886064054</v>
      </c>
      <c r="AG19" s="26">
        <f>(Y19-S19)/(Y14-S14)*2.5+AF19</f>
        <v>0.16148992999885378</v>
      </c>
      <c r="AH19" s="26">
        <f>(Y19-S19)/(Y14-S14)*2.5+AG19</f>
        <v>0.16151804113706703</v>
      </c>
      <c r="AI19" s="26">
        <f>(Y19-S19)/(Y14-S14)*2.5+AH19</f>
        <v>0.16154615227528027</v>
      </c>
    </row>
    <row r="23" spans="6:35" x14ac:dyDescent="0.3">
      <c r="G23" t="s">
        <v>1529</v>
      </c>
    </row>
    <row r="24" spans="6:35" x14ac:dyDescent="0.3">
      <c r="G24" s="44">
        <v>0.17862841063970572</v>
      </c>
    </row>
    <row r="26" spans="6:35" x14ac:dyDescent="0.3">
      <c r="G26" t="s">
        <v>1525</v>
      </c>
      <c r="H26" t="s">
        <v>1526</v>
      </c>
      <c r="I26" t="s">
        <v>1527</v>
      </c>
      <c r="J26" t="s">
        <v>1528</v>
      </c>
    </row>
    <row r="27" spans="6:35" x14ac:dyDescent="0.3">
      <c r="F27" t="s">
        <v>1530</v>
      </c>
      <c r="G27" s="29" cm="1">
        <f t="array" ref="G27">BSCall(swap_curve!$B$20,vol_surface!K14,swap_curve!$B$19,vol_surface!$G$24,30/365)</f>
        <v>7.9922527908774725</v>
      </c>
      <c r="H27" s="29" cm="1">
        <f t="array" ref="H27">BSCall(swap_curve!$B$20,N14,swap_curve!$B$19,vol_surface!$G$24,30/365)</f>
        <v>4.7476006616165876</v>
      </c>
      <c r="I27" s="29" cm="1">
        <f t="array" ref="I27">BSCall(swap_curve!$B$20,U14,swap_curve!$B$19,vol_surface!$G$24,30/365)</f>
        <v>1.0039082921585987</v>
      </c>
      <c r="J27" s="29" cm="1">
        <f t="array" ref="J27">BSCall(swap_curve!$B$20,AC14,swap_curve!$B$19,vol_surface!$G$24,30/365)</f>
        <v>9.315723210438609E-2</v>
      </c>
    </row>
    <row r="28" spans="6:35" x14ac:dyDescent="0.3">
      <c r="F28" t="s">
        <v>1531</v>
      </c>
      <c r="G28" s="29" cm="1">
        <f t="array" ref="G28">BSCall(swap_curve!$B$20,vol_surface!K14,swap_curve!$B$19,K16,30/365)</f>
        <v>8.0404364272192197</v>
      </c>
      <c r="H28" s="29" cm="1">
        <f t="array" ref="H28">BSCall(swap_curve!$B$20,N14,swap_curve!$B$19,N16,30/365)</f>
        <v>4.7293254950747325</v>
      </c>
      <c r="I28" s="29" cm="1">
        <f t="array" ref="I28">BSCall(swap_curve!$B$20,U14,swap_curve!$B$19,U16,30/365)</f>
        <v>0.93947562366857085</v>
      </c>
      <c r="J28" s="29" cm="1">
        <f t="array" ref="J28">BSCall(swap_curve!$B$20,AC14,swap_curve!$B$19,AC16,30/365)</f>
        <v>0.10369262992265682</v>
      </c>
    </row>
    <row r="29" spans="6:35" x14ac:dyDescent="0.3">
      <c r="F29" t="s">
        <v>1532</v>
      </c>
      <c r="G29" s="29">
        <f>G27-G28</f>
        <v>-4.818363634174716E-2</v>
      </c>
      <c r="H29" s="29">
        <f t="shared" ref="H29:J29" si="5">H27-H28</f>
        <v>1.8275166541855015E-2</v>
      </c>
      <c r="I29" s="29">
        <f t="shared" si="5"/>
        <v>6.4432668490027822E-2</v>
      </c>
      <c r="J29" s="29">
        <f t="shared" si="5"/>
        <v>-1.0535397818270731E-2</v>
      </c>
    </row>
    <row r="30" spans="6:35" x14ac:dyDescent="0.3">
      <c r="F30" t="s">
        <v>1534</v>
      </c>
      <c r="G30" s="4">
        <f>G29^2</f>
        <v>2.3216628111137378E-3</v>
      </c>
      <c r="H30" s="4">
        <f t="shared" ref="H30:J30" si="6">H29^2</f>
        <v>3.3398171213253698E-4</v>
      </c>
      <c r="I30" s="4">
        <f t="shared" si="6"/>
        <v>4.1515687687458244E-3</v>
      </c>
      <c r="J30" s="4">
        <f t="shared" si="6"/>
        <v>1.1099460718922368E-4</v>
      </c>
    </row>
    <row r="31" spans="6:35" x14ac:dyDescent="0.3">
      <c r="F31" t="s">
        <v>1533</v>
      </c>
      <c r="G31" s="4">
        <f>SUM(G30:J30)</f>
        <v>6.9182078991813232E-3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6CE8D-F6A3-4231-BAF1-3F4A54B62629}">
  <sheetPr codeName="Sheet6"/>
  <dimension ref="A1:DE41"/>
  <sheetViews>
    <sheetView tabSelected="1" workbookViewId="0">
      <selection activeCell="N28" sqref="N28"/>
    </sheetView>
  </sheetViews>
  <sheetFormatPr defaultRowHeight="16.5" x14ac:dyDescent="0.3"/>
  <cols>
    <col min="2" max="2" width="11.125" bestFit="1" customWidth="1"/>
    <col min="9" max="9" width="11.125" bestFit="1" customWidth="1"/>
    <col min="10" max="10" width="11.625" bestFit="1" customWidth="1"/>
    <col min="11" max="11" width="12.875" bestFit="1" customWidth="1"/>
    <col min="12" max="109" width="11.625" bestFit="1" customWidth="1"/>
  </cols>
  <sheetData>
    <row r="1" spans="1:109" x14ac:dyDescent="0.3">
      <c r="A1" t="s">
        <v>1591</v>
      </c>
      <c r="B1" t="s">
        <v>3</v>
      </c>
      <c r="C1" t="s">
        <v>1592</v>
      </c>
      <c r="D1" t="s">
        <v>1593</v>
      </c>
      <c r="E1" t="s">
        <v>1594</v>
      </c>
      <c r="F1" t="s">
        <v>1532</v>
      </c>
      <c r="G1" t="s">
        <v>1597</v>
      </c>
      <c r="H1">
        <f>vol_surface!G24</f>
        <v>0.17862841063970572</v>
      </c>
      <c r="J1">
        <v>1</v>
      </c>
      <c r="K1">
        <v>2</v>
      </c>
      <c r="L1">
        <v>3</v>
      </c>
      <c r="M1">
        <v>4</v>
      </c>
      <c r="N1">
        <v>5</v>
      </c>
      <c r="O1">
        <v>6</v>
      </c>
      <c r="P1">
        <v>7</v>
      </c>
      <c r="Q1">
        <v>8</v>
      </c>
      <c r="R1">
        <v>9</v>
      </c>
      <c r="S1">
        <v>10</v>
      </c>
      <c r="T1">
        <v>11</v>
      </c>
      <c r="U1">
        <v>12</v>
      </c>
      <c r="V1">
        <v>13</v>
      </c>
      <c r="W1">
        <v>14</v>
      </c>
      <c r="X1">
        <v>15</v>
      </c>
      <c r="Y1">
        <v>16</v>
      </c>
      <c r="Z1">
        <v>17</v>
      </c>
      <c r="AA1">
        <v>18</v>
      </c>
      <c r="AB1">
        <v>19</v>
      </c>
      <c r="AC1">
        <v>20</v>
      </c>
      <c r="AD1">
        <v>21</v>
      </c>
      <c r="AE1">
        <v>22</v>
      </c>
      <c r="AF1">
        <v>23</v>
      </c>
      <c r="AG1">
        <v>24</v>
      </c>
      <c r="AH1">
        <v>25</v>
      </c>
      <c r="AI1">
        <v>26</v>
      </c>
      <c r="AJ1">
        <v>27</v>
      </c>
      <c r="AK1">
        <v>28</v>
      </c>
      <c r="AL1">
        <v>29</v>
      </c>
      <c r="AM1">
        <v>30</v>
      </c>
      <c r="AN1">
        <v>31</v>
      </c>
      <c r="AO1">
        <v>32</v>
      </c>
      <c r="AP1">
        <v>33</v>
      </c>
      <c r="AQ1">
        <v>34</v>
      </c>
      <c r="AR1">
        <v>35</v>
      </c>
      <c r="AS1">
        <v>36</v>
      </c>
      <c r="AT1">
        <v>37</v>
      </c>
      <c r="AU1">
        <v>38</v>
      </c>
      <c r="AV1">
        <v>39</v>
      </c>
      <c r="AW1">
        <v>40</v>
      </c>
      <c r="AX1">
        <v>41</v>
      </c>
      <c r="AY1">
        <v>42</v>
      </c>
      <c r="AZ1">
        <v>43</v>
      </c>
      <c r="BA1">
        <v>44</v>
      </c>
      <c r="BB1">
        <v>45</v>
      </c>
      <c r="BC1">
        <v>46</v>
      </c>
      <c r="BD1">
        <v>47</v>
      </c>
      <c r="BE1">
        <v>48</v>
      </c>
      <c r="BF1">
        <v>49</v>
      </c>
      <c r="BG1">
        <v>50</v>
      </c>
      <c r="BH1">
        <v>51</v>
      </c>
      <c r="BI1">
        <v>52</v>
      </c>
      <c r="BJ1">
        <v>53</v>
      </c>
      <c r="BK1">
        <v>54</v>
      </c>
      <c r="BL1">
        <v>55</v>
      </c>
      <c r="BM1">
        <v>56</v>
      </c>
      <c r="BN1">
        <v>57</v>
      </c>
      <c r="BO1">
        <v>58</v>
      </c>
      <c r="BP1">
        <v>59</v>
      </c>
      <c r="BQ1">
        <v>60</v>
      </c>
      <c r="BR1">
        <v>61</v>
      </c>
      <c r="BS1">
        <v>62</v>
      </c>
      <c r="BT1">
        <v>63</v>
      </c>
      <c r="BU1">
        <v>64</v>
      </c>
      <c r="BV1">
        <v>65</v>
      </c>
      <c r="BW1">
        <v>66</v>
      </c>
      <c r="BX1">
        <v>67</v>
      </c>
      <c r="BY1">
        <v>68</v>
      </c>
      <c r="BZ1">
        <v>69</v>
      </c>
      <c r="CA1">
        <v>70</v>
      </c>
      <c r="CB1">
        <v>71</v>
      </c>
      <c r="CC1">
        <v>72</v>
      </c>
      <c r="CD1">
        <v>73</v>
      </c>
      <c r="CE1">
        <v>74</v>
      </c>
      <c r="CF1">
        <v>75</v>
      </c>
      <c r="CG1">
        <v>76</v>
      </c>
      <c r="CH1">
        <v>77</v>
      </c>
      <c r="CI1">
        <v>78</v>
      </c>
      <c r="CJ1">
        <v>79</v>
      </c>
      <c r="CK1">
        <v>80</v>
      </c>
      <c r="CL1">
        <v>81</v>
      </c>
      <c r="CM1">
        <v>82</v>
      </c>
      <c r="CN1">
        <v>83</v>
      </c>
      <c r="CO1">
        <v>84</v>
      </c>
      <c r="CP1">
        <v>85</v>
      </c>
      <c r="CQ1">
        <v>86</v>
      </c>
      <c r="CR1">
        <v>87</v>
      </c>
      <c r="CS1">
        <v>88</v>
      </c>
      <c r="CT1">
        <v>89</v>
      </c>
      <c r="CU1">
        <v>90</v>
      </c>
      <c r="CV1">
        <v>91</v>
      </c>
      <c r="CW1">
        <v>92</v>
      </c>
      <c r="CX1">
        <v>93</v>
      </c>
      <c r="CY1">
        <v>94</v>
      </c>
      <c r="CZ1">
        <v>95</v>
      </c>
      <c r="DA1">
        <v>96</v>
      </c>
      <c r="DB1">
        <v>97</v>
      </c>
      <c r="DC1">
        <v>98</v>
      </c>
      <c r="DD1">
        <v>99</v>
      </c>
      <c r="DE1">
        <v>100</v>
      </c>
    </row>
    <row r="2" spans="1:109" x14ac:dyDescent="0.3">
      <c r="G2" t="s">
        <v>1596</v>
      </c>
      <c r="H2" t="s">
        <v>1595</v>
      </c>
      <c r="I2" s="1">
        <f>swap_curve!C1</f>
        <v>45419</v>
      </c>
      <c r="J2">
        <f>swap_curve!$B20</f>
        <v>365</v>
      </c>
      <c r="K2">
        <f>swap_curve!$B20</f>
        <v>365</v>
      </c>
      <c r="L2">
        <f>swap_curve!$B20</f>
        <v>365</v>
      </c>
      <c r="M2">
        <f>swap_curve!$B20</f>
        <v>365</v>
      </c>
      <c r="N2">
        <f>swap_curve!$B20</f>
        <v>365</v>
      </c>
      <c r="O2">
        <f>swap_curve!$B20</f>
        <v>365</v>
      </c>
      <c r="P2">
        <f>swap_curve!$B20</f>
        <v>365</v>
      </c>
      <c r="Q2">
        <f>swap_curve!$B20</f>
        <v>365</v>
      </c>
      <c r="R2">
        <f>swap_curve!$B20</f>
        <v>365</v>
      </c>
      <c r="S2">
        <f>swap_curve!$B20</f>
        <v>365</v>
      </c>
      <c r="T2">
        <f>swap_curve!$B20</f>
        <v>365</v>
      </c>
      <c r="U2">
        <f>swap_curve!$B20</f>
        <v>365</v>
      </c>
      <c r="V2">
        <f>swap_curve!$B20</f>
        <v>365</v>
      </c>
      <c r="W2">
        <f>swap_curve!$B20</f>
        <v>365</v>
      </c>
      <c r="X2">
        <f>swap_curve!$B20</f>
        <v>365</v>
      </c>
      <c r="Y2">
        <f>swap_curve!$B20</f>
        <v>365</v>
      </c>
      <c r="Z2">
        <f>swap_curve!$B20</f>
        <v>365</v>
      </c>
      <c r="AA2">
        <f>swap_curve!$B20</f>
        <v>365</v>
      </c>
      <c r="AB2">
        <f>swap_curve!$B20</f>
        <v>365</v>
      </c>
      <c r="AC2">
        <f>swap_curve!$B20</f>
        <v>365</v>
      </c>
      <c r="AD2">
        <f>swap_curve!$B20</f>
        <v>365</v>
      </c>
      <c r="AE2">
        <f>swap_curve!$B20</f>
        <v>365</v>
      </c>
      <c r="AF2">
        <f>swap_curve!$B20</f>
        <v>365</v>
      </c>
      <c r="AG2">
        <f>swap_curve!$B20</f>
        <v>365</v>
      </c>
      <c r="AH2">
        <f>swap_curve!$B20</f>
        <v>365</v>
      </c>
      <c r="AI2">
        <f>swap_curve!$B20</f>
        <v>365</v>
      </c>
      <c r="AJ2">
        <f>swap_curve!$B20</f>
        <v>365</v>
      </c>
      <c r="AK2">
        <f>swap_curve!$B20</f>
        <v>365</v>
      </c>
      <c r="AL2">
        <f>swap_curve!$B20</f>
        <v>365</v>
      </c>
      <c r="AM2">
        <f>swap_curve!$B20</f>
        <v>365</v>
      </c>
      <c r="AN2">
        <f>swap_curve!$B20</f>
        <v>365</v>
      </c>
      <c r="AO2">
        <f>swap_curve!$B20</f>
        <v>365</v>
      </c>
      <c r="AP2">
        <f>swap_curve!$B20</f>
        <v>365</v>
      </c>
      <c r="AQ2">
        <f>swap_curve!$B20</f>
        <v>365</v>
      </c>
      <c r="AR2">
        <f>swap_curve!$B20</f>
        <v>365</v>
      </c>
      <c r="AS2">
        <f>swap_curve!$B20</f>
        <v>365</v>
      </c>
      <c r="AT2">
        <f>swap_curve!$B20</f>
        <v>365</v>
      </c>
      <c r="AU2">
        <f>swap_curve!$B20</f>
        <v>365</v>
      </c>
      <c r="AV2">
        <f>swap_curve!$B20</f>
        <v>365</v>
      </c>
      <c r="AW2">
        <f>swap_curve!$B20</f>
        <v>365</v>
      </c>
      <c r="AX2">
        <f>swap_curve!$B20</f>
        <v>365</v>
      </c>
      <c r="AY2">
        <f>swap_curve!$B20</f>
        <v>365</v>
      </c>
      <c r="AZ2">
        <f>swap_curve!$B20</f>
        <v>365</v>
      </c>
      <c r="BA2">
        <f>swap_curve!$B20</f>
        <v>365</v>
      </c>
      <c r="BB2">
        <f>swap_curve!$B20</f>
        <v>365</v>
      </c>
      <c r="BC2">
        <f>swap_curve!$B20</f>
        <v>365</v>
      </c>
      <c r="BD2">
        <f>swap_curve!$B20</f>
        <v>365</v>
      </c>
      <c r="BE2">
        <f>swap_curve!$B20</f>
        <v>365</v>
      </c>
      <c r="BF2">
        <f>swap_curve!$B20</f>
        <v>365</v>
      </c>
      <c r="BG2">
        <f>swap_curve!$B20</f>
        <v>365</v>
      </c>
      <c r="BH2">
        <f>swap_curve!$B20</f>
        <v>365</v>
      </c>
      <c r="BI2">
        <f>swap_curve!$B20</f>
        <v>365</v>
      </c>
      <c r="BJ2">
        <f>swap_curve!$B20</f>
        <v>365</v>
      </c>
      <c r="BK2">
        <f>swap_curve!$B20</f>
        <v>365</v>
      </c>
      <c r="BL2">
        <f>swap_curve!$B20</f>
        <v>365</v>
      </c>
      <c r="BM2">
        <f>swap_curve!$B20</f>
        <v>365</v>
      </c>
      <c r="BN2">
        <f>swap_curve!$B20</f>
        <v>365</v>
      </c>
      <c r="BO2">
        <f>swap_curve!$B20</f>
        <v>365</v>
      </c>
      <c r="BP2">
        <f>swap_curve!$B20</f>
        <v>365</v>
      </c>
      <c r="BQ2">
        <f>swap_curve!$B20</f>
        <v>365</v>
      </c>
      <c r="BR2">
        <f>swap_curve!$B20</f>
        <v>365</v>
      </c>
      <c r="BS2">
        <f>swap_curve!$B20</f>
        <v>365</v>
      </c>
      <c r="BT2">
        <f>swap_curve!$B20</f>
        <v>365</v>
      </c>
      <c r="BU2">
        <f>swap_curve!$B20</f>
        <v>365</v>
      </c>
      <c r="BV2">
        <f>swap_curve!$B20</f>
        <v>365</v>
      </c>
      <c r="BW2">
        <f>swap_curve!$B20</f>
        <v>365</v>
      </c>
      <c r="BX2">
        <f>swap_curve!$B20</f>
        <v>365</v>
      </c>
      <c r="BY2">
        <f>swap_curve!$B20</f>
        <v>365</v>
      </c>
      <c r="BZ2">
        <f>swap_curve!$B20</f>
        <v>365</v>
      </c>
      <c r="CA2">
        <f>swap_curve!$B20</f>
        <v>365</v>
      </c>
      <c r="CB2">
        <f>swap_curve!$B20</f>
        <v>365</v>
      </c>
      <c r="CC2">
        <f>swap_curve!$B20</f>
        <v>365</v>
      </c>
      <c r="CD2">
        <f>swap_curve!$B20</f>
        <v>365</v>
      </c>
      <c r="CE2">
        <f>swap_curve!$B20</f>
        <v>365</v>
      </c>
      <c r="CF2">
        <f>swap_curve!$B20</f>
        <v>365</v>
      </c>
      <c r="CG2">
        <f>swap_curve!$B20</f>
        <v>365</v>
      </c>
      <c r="CH2">
        <f>swap_curve!$B20</f>
        <v>365</v>
      </c>
      <c r="CI2">
        <f>swap_curve!$B20</f>
        <v>365</v>
      </c>
      <c r="CJ2">
        <f>swap_curve!$B20</f>
        <v>365</v>
      </c>
      <c r="CK2">
        <f>swap_curve!$B20</f>
        <v>365</v>
      </c>
      <c r="CL2">
        <f>swap_curve!$B20</f>
        <v>365</v>
      </c>
      <c r="CM2">
        <f>swap_curve!$B20</f>
        <v>365</v>
      </c>
      <c r="CN2">
        <f>swap_curve!$B20</f>
        <v>365</v>
      </c>
      <c r="CO2">
        <f>swap_curve!$B20</f>
        <v>365</v>
      </c>
      <c r="CP2">
        <f>swap_curve!$B20</f>
        <v>365</v>
      </c>
      <c r="CQ2">
        <f>swap_curve!$B20</f>
        <v>365</v>
      </c>
      <c r="CR2">
        <f>swap_curve!$B20</f>
        <v>365</v>
      </c>
      <c r="CS2">
        <f>swap_curve!$B20</f>
        <v>365</v>
      </c>
      <c r="CT2">
        <f>swap_curve!$B20</f>
        <v>365</v>
      </c>
      <c r="CU2">
        <f>swap_curve!$B20</f>
        <v>365</v>
      </c>
      <c r="CV2">
        <f>swap_curve!$B20</f>
        <v>365</v>
      </c>
      <c r="CW2">
        <f>swap_curve!$B20</f>
        <v>365</v>
      </c>
      <c r="CX2">
        <f>swap_curve!$B20</f>
        <v>365</v>
      </c>
      <c r="CY2">
        <f>swap_curve!$B20</f>
        <v>365</v>
      </c>
      <c r="CZ2">
        <f>swap_curve!$B20</f>
        <v>365</v>
      </c>
      <c r="DA2">
        <f>swap_curve!$B20</f>
        <v>365</v>
      </c>
      <c r="DB2">
        <f>swap_curve!$B20</f>
        <v>365</v>
      </c>
      <c r="DC2">
        <f>swap_curve!$B20</f>
        <v>365</v>
      </c>
      <c r="DD2">
        <f>swap_curve!$B20</f>
        <v>365</v>
      </c>
      <c r="DE2">
        <f>swap_curve!$B20</f>
        <v>365</v>
      </c>
    </row>
    <row r="3" spans="1:109" x14ac:dyDescent="0.3">
      <c r="A3">
        <f>YEARFRAC(swap_curve!$C$1,simulation_path!I3,3)</f>
        <v>2.7397260273972603E-3</v>
      </c>
      <c r="B3" s="31">
        <f>1-(1-swap_curve!$F$3)/_xlfn.DAYS(swap_curve!$I$2,swap_curve!$C$1)*_xlfn.DAYS(I3,$I$2)</f>
        <v>0.99990410636716553</v>
      </c>
      <c r="C3">
        <f>-LN(B3)/A3</f>
        <v>3.5002854286832252E-2</v>
      </c>
      <c r="D3" s="14">
        <v>0</v>
      </c>
      <c r="E3">
        <f>$J$2*EXP((C3-D3)*A3)</f>
        <v>365.03500453269641</v>
      </c>
      <c r="F3" s="27">
        <f ca="1">E3-G3</f>
        <v>-0.2642191053197962</v>
      </c>
      <c r="G3">
        <f ca="1">AVERAGE(J3:DE3)</f>
        <v>365.2992236380162</v>
      </c>
      <c r="H3">
        <f ca="1">_xlfn.STDEV.S(J3:DE3)</f>
        <v>3.4809156955671043</v>
      </c>
      <c r="I3" s="1">
        <f>WORKDAY(I2,1,holiday!A$3:A$864)</f>
        <v>45420</v>
      </c>
      <c r="J3" s="13">
        <f ca="1">J2*EXP(($C3-0.5*$H$1^2)*$A$3*_xlfn.DAYS($I3,$I2)+$H$1*SQRT($A$3*_xlfn.DAYS($I3,$I2))*_xlfn.NORM.S.INV(RAND()))</f>
        <v>366.83749796469863</v>
      </c>
      <c r="K3" s="13">
        <f t="shared" ref="K3:BV6" ca="1" si="0">K2*EXP(($C3-0.5*$H$1^2)*$A$3*_xlfn.DAYS($I3,$I2)+$H$1*SQRT($A$3*_xlfn.DAYS($I3,$I2))*_xlfn.NORM.S.INV(RAND()))</f>
        <v>361.10295246073673</v>
      </c>
      <c r="L3" s="13">
        <f t="shared" ca="1" si="0"/>
        <v>365.97253566729057</v>
      </c>
      <c r="M3" s="13">
        <f t="shared" ca="1" si="0"/>
        <v>370.82710889032563</v>
      </c>
      <c r="N3" s="13">
        <f t="shared" ca="1" si="0"/>
        <v>365.35001190581914</v>
      </c>
      <c r="O3" s="13">
        <f t="shared" ca="1" si="0"/>
        <v>365.72899680048209</v>
      </c>
      <c r="P3" s="13">
        <f t="shared" ca="1" si="0"/>
        <v>368.41304794681122</v>
      </c>
      <c r="Q3" s="13">
        <f t="shared" ca="1" si="0"/>
        <v>366.60775267517658</v>
      </c>
      <c r="R3" s="13">
        <f t="shared" ca="1" si="0"/>
        <v>363.84442555210467</v>
      </c>
      <c r="S3" s="13">
        <f t="shared" ca="1" si="0"/>
        <v>361.68167594725651</v>
      </c>
      <c r="T3" s="13">
        <f t="shared" ca="1" si="0"/>
        <v>364.9506876292026</v>
      </c>
      <c r="U3" s="13">
        <f t="shared" ca="1" si="0"/>
        <v>360.14124200867758</v>
      </c>
      <c r="V3" s="13">
        <f t="shared" ca="1" si="0"/>
        <v>367.29888418627917</v>
      </c>
      <c r="W3" s="13">
        <f t="shared" ca="1" si="0"/>
        <v>369.02640741728601</v>
      </c>
      <c r="X3" s="13">
        <f t="shared" ca="1" si="0"/>
        <v>371.09189944761363</v>
      </c>
      <c r="Y3" s="13">
        <f t="shared" ca="1" si="0"/>
        <v>364.96012113382443</v>
      </c>
      <c r="Z3" s="13">
        <f t="shared" ca="1" si="0"/>
        <v>368.59437307541214</v>
      </c>
      <c r="AA3" s="13">
        <f t="shared" ca="1" si="0"/>
        <v>360.46987258678212</v>
      </c>
      <c r="AB3" s="13">
        <f t="shared" ca="1" si="0"/>
        <v>369.03062441322692</v>
      </c>
      <c r="AC3" s="13">
        <f t="shared" ca="1" si="0"/>
        <v>364.6050462231924</v>
      </c>
      <c r="AD3" s="13">
        <f t="shared" ca="1" si="0"/>
        <v>364.79319056309458</v>
      </c>
      <c r="AE3" s="13">
        <f t="shared" ca="1" si="0"/>
        <v>366.47659564870634</v>
      </c>
      <c r="AF3" s="13">
        <f t="shared" ca="1" si="0"/>
        <v>365.5257261855906</v>
      </c>
      <c r="AG3" s="13">
        <f t="shared" ca="1" si="0"/>
        <v>368.74422194074458</v>
      </c>
      <c r="AH3" s="13">
        <f t="shared" ca="1" si="0"/>
        <v>365.18046677614876</v>
      </c>
      <c r="AI3" s="13">
        <f t="shared" ca="1" si="0"/>
        <v>363.4435454051532</v>
      </c>
      <c r="AJ3" s="13">
        <f t="shared" ca="1" si="0"/>
        <v>367.0211877895922</v>
      </c>
      <c r="AK3" s="13">
        <f t="shared" ca="1" si="0"/>
        <v>358.71553920353034</v>
      </c>
      <c r="AL3" s="13">
        <f t="shared" ca="1" si="0"/>
        <v>354.59318038388892</v>
      </c>
      <c r="AM3" s="13">
        <f t="shared" ca="1" si="0"/>
        <v>362.01318028382252</v>
      </c>
      <c r="AN3" s="13">
        <f t="shared" ca="1" si="0"/>
        <v>365.97230000584824</v>
      </c>
      <c r="AO3" s="13">
        <f t="shared" ca="1" si="0"/>
        <v>364.19647980926788</v>
      </c>
      <c r="AP3" s="13">
        <f t="shared" ca="1" si="0"/>
        <v>367.51985324662064</v>
      </c>
      <c r="AQ3" s="13">
        <f t="shared" ca="1" si="0"/>
        <v>362.30755371249683</v>
      </c>
      <c r="AR3" s="13">
        <f t="shared" ca="1" si="0"/>
        <v>359.30381218968876</v>
      </c>
      <c r="AS3" s="13">
        <f t="shared" ca="1" si="0"/>
        <v>367.64869817227031</v>
      </c>
      <c r="AT3" s="13">
        <f t="shared" ca="1" si="0"/>
        <v>371.06237411795524</v>
      </c>
      <c r="AU3" s="13">
        <f t="shared" ca="1" si="0"/>
        <v>361.18535458300681</v>
      </c>
      <c r="AV3" s="13">
        <f t="shared" ca="1" si="0"/>
        <v>363.27630335217845</v>
      </c>
      <c r="AW3" s="13">
        <f t="shared" ca="1" si="0"/>
        <v>368.44675276654476</v>
      </c>
      <c r="AX3" s="13">
        <f t="shared" ca="1" si="0"/>
        <v>363.41682415311101</v>
      </c>
      <c r="AY3" s="13">
        <f t="shared" ca="1" si="0"/>
        <v>360.54991314643996</v>
      </c>
      <c r="AZ3" s="13">
        <f t="shared" ca="1" si="0"/>
        <v>375.19698406683352</v>
      </c>
      <c r="BA3" s="13">
        <f t="shared" ca="1" si="0"/>
        <v>365.2625321385874</v>
      </c>
      <c r="BB3" s="13">
        <f t="shared" ca="1" si="0"/>
        <v>367.00918463918998</v>
      </c>
      <c r="BC3" s="13">
        <f t="shared" ca="1" si="0"/>
        <v>362.81497805837256</v>
      </c>
      <c r="BD3" s="13">
        <f t="shared" ca="1" si="0"/>
        <v>359.89548506361723</v>
      </c>
      <c r="BE3" s="13">
        <f t="shared" ca="1" si="0"/>
        <v>366.32872091237539</v>
      </c>
      <c r="BF3" s="13">
        <f t="shared" ca="1" si="0"/>
        <v>364.8374345213312</v>
      </c>
      <c r="BG3" s="13">
        <f t="shared" ca="1" si="0"/>
        <v>366.27400737805095</v>
      </c>
      <c r="BH3" s="13">
        <f t="shared" ca="1" si="0"/>
        <v>362.96172044126985</v>
      </c>
      <c r="BI3" s="13">
        <f t="shared" ca="1" si="0"/>
        <v>362.12670135891477</v>
      </c>
      <c r="BJ3" s="13">
        <f t="shared" ca="1" si="0"/>
        <v>367.15380933340305</v>
      </c>
      <c r="BK3" s="13">
        <f t="shared" ca="1" si="0"/>
        <v>368.36393180811376</v>
      </c>
      <c r="BL3" s="13">
        <f t="shared" ca="1" si="0"/>
        <v>362.80775913389459</v>
      </c>
      <c r="BM3" s="13">
        <f t="shared" ca="1" si="0"/>
        <v>364.00013947047955</v>
      </c>
      <c r="BN3" s="13">
        <f t="shared" ca="1" si="0"/>
        <v>371.09446647443195</v>
      </c>
      <c r="BO3" s="13">
        <f t="shared" ca="1" si="0"/>
        <v>362.61249398669179</v>
      </c>
      <c r="BP3" s="13">
        <f t="shared" ca="1" si="0"/>
        <v>365.52964723985042</v>
      </c>
      <c r="BQ3" s="13">
        <f t="shared" ca="1" si="0"/>
        <v>364.57245672310671</v>
      </c>
      <c r="BR3" s="13">
        <f t="shared" ca="1" si="0"/>
        <v>360.40648820907751</v>
      </c>
      <c r="BS3" s="13">
        <f t="shared" ca="1" si="0"/>
        <v>358.28025242835434</v>
      </c>
      <c r="BT3" s="13">
        <f t="shared" ca="1" si="0"/>
        <v>363.14495813881678</v>
      </c>
      <c r="BU3" s="13">
        <f t="shared" ca="1" si="0"/>
        <v>365.54361205351245</v>
      </c>
      <c r="BV3" s="13">
        <f t="shared" ca="1" si="0"/>
        <v>365.63403920485689</v>
      </c>
      <c r="BW3" s="13">
        <f t="shared" ref="BW3:DE10" ca="1" si="1">BW2*EXP(($C3-0.5*$H$1^2)*$A$3*_xlfn.DAYS($I3,$I2)+$H$1*SQRT($A$3*_xlfn.DAYS($I3,$I2))*_xlfn.NORM.S.INV(RAND()))</f>
        <v>360.89341801107383</v>
      </c>
      <c r="BX3" s="13">
        <f t="shared" ca="1" si="1"/>
        <v>366.68331092168791</v>
      </c>
      <c r="BY3" s="13">
        <f t="shared" ca="1" si="1"/>
        <v>368.87837332228122</v>
      </c>
      <c r="BZ3" s="13">
        <f t="shared" ca="1" si="1"/>
        <v>362.86968914105012</v>
      </c>
      <c r="CA3" s="13">
        <f t="shared" ca="1" si="1"/>
        <v>368.43434274259931</v>
      </c>
      <c r="CB3" s="13">
        <f t="shared" ca="1" si="1"/>
        <v>367.91596615111257</v>
      </c>
      <c r="CC3" s="13">
        <f t="shared" ca="1" si="1"/>
        <v>364.86641022280043</v>
      </c>
      <c r="CD3" s="13">
        <f t="shared" ca="1" si="1"/>
        <v>365.11670502620871</v>
      </c>
      <c r="CE3" s="13">
        <f t="shared" ca="1" si="1"/>
        <v>368.82509854894261</v>
      </c>
      <c r="CF3" s="13">
        <f t="shared" ca="1" si="1"/>
        <v>366.98884730834186</v>
      </c>
      <c r="CG3" s="13">
        <f t="shared" ca="1" si="1"/>
        <v>367.75698593885824</v>
      </c>
      <c r="CH3" s="13">
        <f t="shared" ca="1" si="1"/>
        <v>365.69715201840086</v>
      </c>
      <c r="CI3" s="13">
        <f t="shared" ca="1" si="1"/>
        <v>364.80954871877475</v>
      </c>
      <c r="CJ3" s="13">
        <f t="shared" ca="1" si="1"/>
        <v>367.62392537361779</v>
      </c>
      <c r="CK3" s="13">
        <f t="shared" ca="1" si="1"/>
        <v>360.58489989073524</v>
      </c>
      <c r="CL3" s="13">
        <f t="shared" ca="1" si="1"/>
        <v>368.13886711013379</v>
      </c>
      <c r="CM3" s="13">
        <f t="shared" ca="1" si="1"/>
        <v>362.86799097378662</v>
      </c>
      <c r="CN3" s="13">
        <f t="shared" ca="1" si="1"/>
        <v>362.626271443863</v>
      </c>
      <c r="CO3" s="13">
        <f t="shared" ca="1" si="1"/>
        <v>365.08730512395869</v>
      </c>
      <c r="CP3" s="13">
        <f t="shared" ca="1" si="1"/>
        <v>367.34764669411226</v>
      </c>
      <c r="CQ3" s="13">
        <f t="shared" ca="1" si="1"/>
        <v>364.26892876719751</v>
      </c>
      <c r="CR3" s="13">
        <f t="shared" ca="1" si="1"/>
        <v>361.89770013957326</v>
      </c>
      <c r="CS3" s="13">
        <f t="shared" ca="1" si="1"/>
        <v>373.36175812787786</v>
      </c>
      <c r="CT3" s="13">
        <f t="shared" ca="1" si="1"/>
        <v>362.84583041138683</v>
      </c>
      <c r="CU3" s="13">
        <f t="shared" ca="1" si="1"/>
        <v>364.03046989656866</v>
      </c>
      <c r="CV3" s="13">
        <f t="shared" ca="1" si="1"/>
        <v>370.45311966795487</v>
      </c>
      <c r="CW3" s="13">
        <f t="shared" ca="1" si="1"/>
        <v>370.14715157004673</v>
      </c>
      <c r="CX3" s="13">
        <f t="shared" ca="1" si="1"/>
        <v>359.18208858468222</v>
      </c>
      <c r="CY3" s="13">
        <f t="shared" ca="1" si="1"/>
        <v>369.0605700256699</v>
      </c>
      <c r="CZ3" s="13">
        <f t="shared" ca="1" si="1"/>
        <v>369.08853498461463</v>
      </c>
      <c r="DA3" s="13">
        <f t="shared" ca="1" si="1"/>
        <v>367.62352657927642</v>
      </c>
      <c r="DB3" s="13">
        <f t="shared" ca="1" si="1"/>
        <v>364.23205249785684</v>
      </c>
      <c r="DC3" s="13">
        <f t="shared" ca="1" si="1"/>
        <v>368.01008884980013</v>
      </c>
      <c r="DD3" s="13">
        <f t="shared" ca="1" si="1"/>
        <v>363.04155729775306</v>
      </c>
      <c r="DE3" s="13">
        <f t="shared" ca="1" si="1"/>
        <v>368.88621156799729</v>
      </c>
    </row>
    <row r="4" spans="1:109" x14ac:dyDescent="0.3">
      <c r="A4">
        <f>YEARFRAC(swap_curve!$C$1,simulation_path!I4,3)</f>
        <v>5.4794520547945206E-3</v>
      </c>
      <c r="B4" s="31">
        <f>1-(1-swap_curve!$F$3)/_xlfn.DAYS(swap_curve!$I$2,swap_curve!$C$1)*_xlfn.DAYS(I4,$I$2)</f>
        <v>0.99980821273433107</v>
      </c>
      <c r="C4">
        <f>-LN(B4)/A4</f>
        <v>3.500453280370202E-2</v>
      </c>
      <c r="D4" s="14">
        <v>0</v>
      </c>
      <c r="E4">
        <f t="shared" ref="E4:E23" si="2">$J$2*EXP((C4-D4)*A4)</f>
        <v>365.0700157801042</v>
      </c>
      <c r="F4" s="27">
        <f t="shared" ref="F4:F23" ca="1" si="3">E4-G4</f>
        <v>-0.2634291486164102</v>
      </c>
      <c r="G4">
        <f t="shared" ref="G4:G23" ca="1" si="4">AVERAGE(J4:DE4)</f>
        <v>365.33344492872061</v>
      </c>
      <c r="H4">
        <f t="shared" ref="H4:H23" ca="1" si="5">_xlfn.STDEV.S(J4:DE4)</f>
        <v>5.2014167114603822</v>
      </c>
      <c r="I4" s="1">
        <f>WORKDAY(I3,1,holiday!A$3:A$864)</f>
        <v>45421</v>
      </c>
      <c r="J4" s="13">
        <f t="shared" ref="J4:J23" ca="1" si="6">J3*EXP(($C4-0.5*$H$1^2)*$A$3*_xlfn.DAYS($I4,$I3)+$H$1*SQRT($A$3*_xlfn.DAYS($I4,$I3))*_xlfn.NORM.S.INV(RAND()))</f>
        <v>364.99771046282444</v>
      </c>
      <c r="K4" s="13">
        <f t="shared" ca="1" si="0"/>
        <v>361.39026127120206</v>
      </c>
      <c r="L4" s="13">
        <f t="shared" ca="1" si="0"/>
        <v>361.57486693946436</v>
      </c>
      <c r="M4" s="13">
        <f t="shared" ca="1" si="0"/>
        <v>372.04354612902796</v>
      </c>
      <c r="N4" s="13">
        <f t="shared" ca="1" si="0"/>
        <v>365.91179950700058</v>
      </c>
      <c r="O4" s="13">
        <f t="shared" ca="1" si="0"/>
        <v>365.5955051414216</v>
      </c>
      <c r="P4" s="13">
        <f t="shared" ca="1" si="0"/>
        <v>372.36425943277607</v>
      </c>
      <c r="Q4" s="13">
        <f t="shared" ca="1" si="0"/>
        <v>363.10236565852659</v>
      </c>
      <c r="R4" s="13">
        <f t="shared" ca="1" si="0"/>
        <v>362.26160146498927</v>
      </c>
      <c r="S4" s="13">
        <f t="shared" ca="1" si="0"/>
        <v>360.18723675911502</v>
      </c>
      <c r="T4" s="13">
        <f t="shared" ca="1" si="0"/>
        <v>374.45085107720206</v>
      </c>
      <c r="U4" s="13">
        <f t="shared" ca="1" si="0"/>
        <v>356.98676653321422</v>
      </c>
      <c r="V4" s="13">
        <f t="shared" ca="1" si="0"/>
        <v>368.54980233005671</v>
      </c>
      <c r="W4" s="13">
        <f t="shared" ca="1" si="0"/>
        <v>364.29310933708535</v>
      </c>
      <c r="X4" s="13">
        <f t="shared" ca="1" si="0"/>
        <v>370.85033978525564</v>
      </c>
      <c r="Y4" s="13">
        <f t="shared" ca="1" si="0"/>
        <v>360.45952469237068</v>
      </c>
      <c r="Z4" s="13">
        <f t="shared" ca="1" si="0"/>
        <v>371.95350303352836</v>
      </c>
      <c r="AA4" s="13">
        <f t="shared" ca="1" si="0"/>
        <v>358.11826776413324</v>
      </c>
      <c r="AB4" s="13">
        <f t="shared" ca="1" si="0"/>
        <v>369.73676315351065</v>
      </c>
      <c r="AC4" s="13">
        <f t="shared" ca="1" si="0"/>
        <v>362.94477577117783</v>
      </c>
      <c r="AD4" s="13">
        <f t="shared" ca="1" si="0"/>
        <v>366.41012940245804</v>
      </c>
      <c r="AE4" s="13">
        <f t="shared" ca="1" si="0"/>
        <v>363.25291048712671</v>
      </c>
      <c r="AF4" s="13">
        <f t="shared" ca="1" si="0"/>
        <v>359.12446641622711</v>
      </c>
      <c r="AG4" s="13">
        <f t="shared" ca="1" si="0"/>
        <v>364.94713549187861</v>
      </c>
      <c r="AH4" s="13">
        <f t="shared" ca="1" si="0"/>
        <v>365.56163539749309</v>
      </c>
      <c r="AI4" s="13">
        <f t="shared" ca="1" si="0"/>
        <v>362.60105416606154</v>
      </c>
      <c r="AJ4" s="13">
        <f t="shared" ca="1" si="0"/>
        <v>368.31572232505653</v>
      </c>
      <c r="AK4" s="13">
        <f t="shared" ca="1" si="0"/>
        <v>356.52415360084859</v>
      </c>
      <c r="AL4" s="13">
        <f t="shared" ca="1" si="0"/>
        <v>352.11026699945262</v>
      </c>
      <c r="AM4" s="13">
        <f t="shared" ca="1" si="0"/>
        <v>359.42881841325681</v>
      </c>
      <c r="AN4" s="13">
        <f t="shared" ca="1" si="0"/>
        <v>365.27912956870671</v>
      </c>
      <c r="AO4" s="13">
        <f t="shared" ca="1" si="0"/>
        <v>362.69080527366151</v>
      </c>
      <c r="AP4" s="13">
        <f t="shared" ca="1" si="0"/>
        <v>369.21762211580278</v>
      </c>
      <c r="AQ4" s="13">
        <f t="shared" ca="1" si="0"/>
        <v>364.87339316267645</v>
      </c>
      <c r="AR4" s="13">
        <f t="shared" ca="1" si="0"/>
        <v>354.65152957494189</v>
      </c>
      <c r="AS4" s="13">
        <f t="shared" ca="1" si="0"/>
        <v>366.79548300914161</v>
      </c>
      <c r="AT4" s="13">
        <f t="shared" ca="1" si="0"/>
        <v>374.17005615353753</v>
      </c>
      <c r="AU4" s="13">
        <f t="shared" ca="1" si="0"/>
        <v>363.92166759842178</v>
      </c>
      <c r="AV4" s="13">
        <f t="shared" ca="1" si="0"/>
        <v>362.73872562517698</v>
      </c>
      <c r="AW4" s="13">
        <f t="shared" ca="1" si="0"/>
        <v>371.51534032632122</v>
      </c>
      <c r="AX4" s="13">
        <f t="shared" ca="1" si="0"/>
        <v>358.22860529382018</v>
      </c>
      <c r="AY4" s="13">
        <f t="shared" ca="1" si="0"/>
        <v>359.35679426809412</v>
      </c>
      <c r="AZ4" s="13">
        <f t="shared" ca="1" si="0"/>
        <v>376.51535519931036</v>
      </c>
      <c r="BA4" s="13">
        <f t="shared" ca="1" si="0"/>
        <v>371.86989486262047</v>
      </c>
      <c r="BB4" s="13">
        <f t="shared" ca="1" si="0"/>
        <v>366.0414464685378</v>
      </c>
      <c r="BC4" s="13">
        <f t="shared" ca="1" si="0"/>
        <v>361.77755179281689</v>
      </c>
      <c r="BD4" s="13">
        <f t="shared" ca="1" si="0"/>
        <v>358.71221236658363</v>
      </c>
      <c r="BE4" s="13">
        <f t="shared" ca="1" si="0"/>
        <v>362.55390844649583</v>
      </c>
      <c r="BF4" s="13">
        <f t="shared" ca="1" si="0"/>
        <v>360.27880048366785</v>
      </c>
      <c r="BG4" s="13">
        <f t="shared" ca="1" si="0"/>
        <v>366.05960484094601</v>
      </c>
      <c r="BH4" s="13">
        <f t="shared" ca="1" si="0"/>
        <v>359.73383225694238</v>
      </c>
      <c r="BI4" s="13">
        <f t="shared" ca="1" si="0"/>
        <v>360.13034585945934</v>
      </c>
      <c r="BJ4" s="13">
        <f t="shared" ca="1" si="0"/>
        <v>364.24244832203146</v>
      </c>
      <c r="BK4" s="13">
        <f t="shared" ca="1" si="0"/>
        <v>369.89741301756118</v>
      </c>
      <c r="BL4" s="13">
        <f t="shared" ca="1" si="0"/>
        <v>360.87864258493772</v>
      </c>
      <c r="BM4" s="13">
        <f t="shared" ca="1" si="0"/>
        <v>362.79860343000223</v>
      </c>
      <c r="BN4" s="13">
        <f t="shared" ca="1" si="0"/>
        <v>373.30780655948502</v>
      </c>
      <c r="BO4" s="13">
        <f t="shared" ca="1" si="0"/>
        <v>367.59900550943206</v>
      </c>
      <c r="BP4" s="13">
        <f t="shared" ca="1" si="0"/>
        <v>368.99309448752916</v>
      </c>
      <c r="BQ4" s="13">
        <f t="shared" ca="1" si="0"/>
        <v>364.47389988334663</v>
      </c>
      <c r="BR4" s="13">
        <f t="shared" ca="1" si="0"/>
        <v>355.96104010177413</v>
      </c>
      <c r="BS4" s="13">
        <f t="shared" ca="1" si="0"/>
        <v>358.05715430043745</v>
      </c>
      <c r="BT4" s="13">
        <f t="shared" ca="1" si="0"/>
        <v>365.2325083164348</v>
      </c>
      <c r="BU4" s="13">
        <f t="shared" ca="1" si="0"/>
        <v>363.68776532164821</v>
      </c>
      <c r="BV4" s="13">
        <f t="shared" ca="1" si="0"/>
        <v>364.56936028707327</v>
      </c>
      <c r="BW4" s="13">
        <f t="shared" ca="1" si="1"/>
        <v>362.64677152615889</v>
      </c>
      <c r="BX4" s="13">
        <f t="shared" ca="1" si="1"/>
        <v>366.80427707181235</v>
      </c>
      <c r="BY4" s="13">
        <f t="shared" ca="1" si="1"/>
        <v>371.42746643422601</v>
      </c>
      <c r="BZ4" s="13">
        <f t="shared" ca="1" si="1"/>
        <v>363.37483473209801</v>
      </c>
      <c r="CA4" s="13">
        <f t="shared" ca="1" si="1"/>
        <v>366.08152338662586</v>
      </c>
      <c r="CB4" s="13">
        <f t="shared" ca="1" si="1"/>
        <v>369.99945535372797</v>
      </c>
      <c r="CC4" s="13">
        <f t="shared" ca="1" si="1"/>
        <v>371.54324609284384</v>
      </c>
      <c r="CD4" s="13">
        <f t="shared" ca="1" si="1"/>
        <v>363.41592115720113</v>
      </c>
      <c r="CE4" s="13">
        <f t="shared" ca="1" si="1"/>
        <v>370.36308953101241</v>
      </c>
      <c r="CF4" s="13">
        <f t="shared" ca="1" si="1"/>
        <v>367.37690433731211</v>
      </c>
      <c r="CG4" s="13">
        <f t="shared" ca="1" si="1"/>
        <v>372.02824197862168</v>
      </c>
      <c r="CH4" s="13">
        <f t="shared" ca="1" si="1"/>
        <v>371.82667485082976</v>
      </c>
      <c r="CI4" s="13">
        <f t="shared" ca="1" si="1"/>
        <v>371.03455039128431</v>
      </c>
      <c r="CJ4" s="13">
        <f t="shared" ca="1" si="1"/>
        <v>366.798547223144</v>
      </c>
      <c r="CK4" s="13">
        <f t="shared" ca="1" si="1"/>
        <v>358.91883743664641</v>
      </c>
      <c r="CL4" s="13">
        <f t="shared" ca="1" si="1"/>
        <v>370.39407974567365</v>
      </c>
      <c r="CM4" s="13">
        <f t="shared" ca="1" si="1"/>
        <v>364.85899703964202</v>
      </c>
      <c r="CN4" s="13">
        <f t="shared" ca="1" si="1"/>
        <v>364.71919752824942</v>
      </c>
      <c r="CO4" s="13">
        <f t="shared" ca="1" si="1"/>
        <v>371.53461596174697</v>
      </c>
      <c r="CP4" s="13">
        <f t="shared" ca="1" si="1"/>
        <v>368.93528504570673</v>
      </c>
      <c r="CQ4" s="13">
        <f t="shared" ca="1" si="1"/>
        <v>365.81521458914062</v>
      </c>
      <c r="CR4" s="13">
        <f t="shared" ca="1" si="1"/>
        <v>362.94962793055441</v>
      </c>
      <c r="CS4" s="13">
        <f t="shared" ca="1" si="1"/>
        <v>371.81221803985648</v>
      </c>
      <c r="CT4" s="13">
        <f t="shared" ca="1" si="1"/>
        <v>358.98731927671122</v>
      </c>
      <c r="CU4" s="13">
        <f t="shared" ca="1" si="1"/>
        <v>361.61265007270805</v>
      </c>
      <c r="CV4" s="13">
        <f t="shared" ca="1" si="1"/>
        <v>372.72641825885961</v>
      </c>
      <c r="CW4" s="13">
        <f t="shared" ca="1" si="1"/>
        <v>371.59298808809211</v>
      </c>
      <c r="CX4" s="13">
        <f t="shared" ca="1" si="1"/>
        <v>367.34517235054301</v>
      </c>
      <c r="CY4" s="13">
        <f t="shared" ca="1" si="1"/>
        <v>366.92792496152049</v>
      </c>
      <c r="CZ4" s="13">
        <f t="shared" ca="1" si="1"/>
        <v>367.41352799610058</v>
      </c>
      <c r="DA4" s="13">
        <f t="shared" ca="1" si="1"/>
        <v>375.77447285181279</v>
      </c>
      <c r="DB4" s="13">
        <f t="shared" ca="1" si="1"/>
        <v>357.67577526251711</v>
      </c>
      <c r="DC4" s="13">
        <f t="shared" ca="1" si="1"/>
        <v>366.01917998480877</v>
      </c>
      <c r="DD4" s="13">
        <f t="shared" ca="1" si="1"/>
        <v>357.01751197110411</v>
      </c>
      <c r="DE4" s="13">
        <f t="shared" ca="1" si="1"/>
        <v>372.73197880003545</v>
      </c>
    </row>
    <row r="5" spans="1:109" x14ac:dyDescent="0.3">
      <c r="A5">
        <f>YEARFRAC(swap_curve!$C$1,simulation_path!I5,3)</f>
        <v>8.21917808219178E-3</v>
      </c>
      <c r="B5" s="31">
        <f>1-(1-swap_curve!$F$3)/_xlfn.DAYS(swap_curve!$I$2,swap_curve!$C$1)*_xlfn.DAYS(I5,$I$2)</f>
        <v>0.9997123191014966</v>
      </c>
      <c r="C5">
        <f t="shared" ref="C5:C23" si="7">-LN(B5)/A5</f>
        <v>3.5006211535235358E-2</v>
      </c>
      <c r="D5" s="14">
        <v>0</v>
      </c>
      <c r="E5">
        <f t="shared" si="2"/>
        <v>365.10503374415566</v>
      </c>
      <c r="F5" s="27">
        <f t="shared" ca="1" si="3"/>
        <v>-7.535640536224264E-2</v>
      </c>
      <c r="G5">
        <f t="shared" ca="1" si="4"/>
        <v>365.1803901495179</v>
      </c>
      <c r="H5">
        <f t="shared" ca="1" si="5"/>
        <v>6.2186752282235709</v>
      </c>
      <c r="I5" s="1">
        <f>WORKDAY(I4,1,holiday!A$3:A$864)</f>
        <v>45422</v>
      </c>
      <c r="J5" s="13">
        <f t="shared" ca="1" si="6"/>
        <v>358.50665733991605</v>
      </c>
      <c r="K5" s="13">
        <f t="shared" ca="1" si="0"/>
        <v>358.72403631951033</v>
      </c>
      <c r="L5" s="13">
        <f t="shared" ca="1" si="0"/>
        <v>370.82869098112491</v>
      </c>
      <c r="M5" s="13">
        <f t="shared" ca="1" si="0"/>
        <v>372.13680779355161</v>
      </c>
      <c r="N5" s="13">
        <f t="shared" ca="1" si="0"/>
        <v>362.07556673503382</v>
      </c>
      <c r="O5" s="13">
        <f t="shared" ca="1" si="0"/>
        <v>372.21370475502079</v>
      </c>
      <c r="P5" s="13">
        <f t="shared" ca="1" si="0"/>
        <v>373.6892067695963</v>
      </c>
      <c r="Q5" s="13">
        <f t="shared" ca="1" si="0"/>
        <v>367.86272679493175</v>
      </c>
      <c r="R5" s="13">
        <f t="shared" ca="1" si="0"/>
        <v>359.58373505169823</v>
      </c>
      <c r="S5" s="13">
        <f t="shared" ca="1" si="0"/>
        <v>355.74642645619946</v>
      </c>
      <c r="T5" s="13">
        <f t="shared" ca="1" si="0"/>
        <v>375.66599716075831</v>
      </c>
      <c r="U5" s="13">
        <f t="shared" ca="1" si="0"/>
        <v>351.43771999422881</v>
      </c>
      <c r="V5" s="13">
        <f t="shared" ca="1" si="0"/>
        <v>368.2911707828722</v>
      </c>
      <c r="W5" s="13">
        <f t="shared" ca="1" si="0"/>
        <v>362.8519394507814</v>
      </c>
      <c r="X5" s="13">
        <f t="shared" ca="1" si="0"/>
        <v>368.54959135368233</v>
      </c>
      <c r="Y5" s="13">
        <f t="shared" ca="1" si="0"/>
        <v>358.63186584710468</v>
      </c>
      <c r="Z5" s="13">
        <f t="shared" ca="1" si="0"/>
        <v>375.46827528716551</v>
      </c>
      <c r="AA5" s="13">
        <f t="shared" ca="1" si="0"/>
        <v>354.34926777946214</v>
      </c>
      <c r="AB5" s="13">
        <f t="shared" ca="1" si="0"/>
        <v>366.38184226516643</v>
      </c>
      <c r="AC5" s="13">
        <f t="shared" ca="1" si="0"/>
        <v>363.71293988176421</v>
      </c>
      <c r="AD5" s="13">
        <f t="shared" ca="1" si="0"/>
        <v>367.85981138495538</v>
      </c>
      <c r="AE5" s="13">
        <f t="shared" ca="1" si="0"/>
        <v>365.18728720781888</v>
      </c>
      <c r="AF5" s="13">
        <f t="shared" ca="1" si="0"/>
        <v>360.21658035143753</v>
      </c>
      <c r="AG5" s="13">
        <f t="shared" ca="1" si="0"/>
        <v>359.96060662573677</v>
      </c>
      <c r="AH5" s="13">
        <f t="shared" ca="1" si="0"/>
        <v>366.92405797016249</v>
      </c>
      <c r="AI5" s="13">
        <f t="shared" ca="1" si="0"/>
        <v>360.75811660333193</v>
      </c>
      <c r="AJ5" s="13">
        <f t="shared" ca="1" si="0"/>
        <v>366.70651685459609</v>
      </c>
      <c r="AK5" s="13">
        <f t="shared" ca="1" si="0"/>
        <v>358.68610258598187</v>
      </c>
      <c r="AL5" s="13">
        <f t="shared" ca="1" si="0"/>
        <v>360.24231002261598</v>
      </c>
      <c r="AM5" s="13">
        <f t="shared" ca="1" si="0"/>
        <v>360.20391819099473</v>
      </c>
      <c r="AN5" s="13">
        <f t="shared" ca="1" si="0"/>
        <v>365.7724084260592</v>
      </c>
      <c r="AO5" s="13">
        <f t="shared" ca="1" si="0"/>
        <v>361.36593645156046</v>
      </c>
      <c r="AP5" s="13">
        <f t="shared" ca="1" si="0"/>
        <v>369.49332751594858</v>
      </c>
      <c r="AQ5" s="13">
        <f t="shared" ca="1" si="0"/>
        <v>366.43548856567753</v>
      </c>
      <c r="AR5" s="13">
        <f t="shared" ca="1" si="0"/>
        <v>351.89364866238662</v>
      </c>
      <c r="AS5" s="13">
        <f t="shared" ca="1" si="0"/>
        <v>366.69048712477212</v>
      </c>
      <c r="AT5" s="13">
        <f t="shared" ca="1" si="0"/>
        <v>373.73630106429755</v>
      </c>
      <c r="AU5" s="13">
        <f t="shared" ca="1" si="0"/>
        <v>368.52030406620133</v>
      </c>
      <c r="AV5" s="13">
        <f t="shared" ca="1" si="0"/>
        <v>359.77295713004065</v>
      </c>
      <c r="AW5" s="13">
        <f t="shared" ca="1" si="0"/>
        <v>379.49665213011821</v>
      </c>
      <c r="AX5" s="13">
        <f t="shared" ca="1" si="0"/>
        <v>358.10161573907305</v>
      </c>
      <c r="AY5" s="13">
        <f t="shared" ca="1" si="0"/>
        <v>352.48499124135799</v>
      </c>
      <c r="AZ5" s="13">
        <f t="shared" ca="1" si="0"/>
        <v>376.6482922223712</v>
      </c>
      <c r="BA5" s="13">
        <f t="shared" ca="1" si="0"/>
        <v>376.36442964943734</v>
      </c>
      <c r="BB5" s="13">
        <f t="shared" ca="1" si="0"/>
        <v>365.18264582599414</v>
      </c>
      <c r="BC5" s="13">
        <f t="shared" ca="1" si="0"/>
        <v>362.11813529464342</v>
      </c>
      <c r="BD5" s="13">
        <f t="shared" ca="1" si="0"/>
        <v>362.03299122152612</v>
      </c>
      <c r="BE5" s="13">
        <f t="shared" ca="1" si="0"/>
        <v>367.20152748372527</v>
      </c>
      <c r="BF5" s="13">
        <f t="shared" ca="1" si="0"/>
        <v>361.4001487944704</v>
      </c>
      <c r="BG5" s="13">
        <f t="shared" ca="1" si="0"/>
        <v>370.64031256446668</v>
      </c>
      <c r="BH5" s="13">
        <f t="shared" ca="1" si="0"/>
        <v>360.71177120695233</v>
      </c>
      <c r="BI5" s="13">
        <f t="shared" ca="1" si="0"/>
        <v>357.75617394210934</v>
      </c>
      <c r="BJ5" s="13">
        <f t="shared" ca="1" si="0"/>
        <v>365.1716284235589</v>
      </c>
      <c r="BK5" s="13">
        <f t="shared" ca="1" si="0"/>
        <v>370.56423210378421</v>
      </c>
      <c r="BL5" s="13">
        <f t="shared" ca="1" si="0"/>
        <v>361.15066863683478</v>
      </c>
      <c r="BM5" s="13">
        <f t="shared" ca="1" si="0"/>
        <v>368.74437687993253</v>
      </c>
      <c r="BN5" s="13">
        <f t="shared" ca="1" si="0"/>
        <v>367.77058293977672</v>
      </c>
      <c r="BO5" s="13">
        <f t="shared" ca="1" si="0"/>
        <v>363.6099069379535</v>
      </c>
      <c r="BP5" s="13">
        <f t="shared" ca="1" si="0"/>
        <v>362.66644937932841</v>
      </c>
      <c r="BQ5" s="13">
        <f t="shared" ca="1" si="0"/>
        <v>368.50308762285641</v>
      </c>
      <c r="BR5" s="13">
        <f t="shared" ca="1" si="0"/>
        <v>357.1131558977761</v>
      </c>
      <c r="BS5" s="13">
        <f t="shared" ca="1" si="0"/>
        <v>356.32646032515328</v>
      </c>
      <c r="BT5" s="13">
        <f t="shared" ca="1" si="0"/>
        <v>361.80549007339943</v>
      </c>
      <c r="BU5" s="13">
        <f t="shared" ca="1" si="0"/>
        <v>363.67596462794819</v>
      </c>
      <c r="BV5" s="13">
        <f t="shared" ca="1" si="0"/>
        <v>362.51160747496755</v>
      </c>
      <c r="BW5" s="13">
        <f t="shared" ca="1" si="1"/>
        <v>365.84959482401342</v>
      </c>
      <c r="BX5" s="13">
        <f t="shared" ca="1" si="1"/>
        <v>366.61333261886665</v>
      </c>
      <c r="BY5" s="13">
        <f t="shared" ca="1" si="1"/>
        <v>370.00370783483589</v>
      </c>
      <c r="BZ5" s="13">
        <f t="shared" ca="1" si="1"/>
        <v>362.21451477736576</v>
      </c>
      <c r="CA5" s="13">
        <f t="shared" ca="1" si="1"/>
        <v>361.72518313484591</v>
      </c>
      <c r="CB5" s="13">
        <f t="shared" ca="1" si="1"/>
        <v>368.52598672075987</v>
      </c>
      <c r="CC5" s="13">
        <f t="shared" ca="1" si="1"/>
        <v>365.58098166157248</v>
      </c>
      <c r="CD5" s="13">
        <f t="shared" ca="1" si="1"/>
        <v>365.85200652373021</v>
      </c>
      <c r="CE5" s="13">
        <f t="shared" ca="1" si="1"/>
        <v>365.75006301175245</v>
      </c>
      <c r="CF5" s="13">
        <f t="shared" ca="1" si="1"/>
        <v>367.57804427720851</v>
      </c>
      <c r="CG5" s="13">
        <f t="shared" ca="1" si="1"/>
        <v>371.9469542760267</v>
      </c>
      <c r="CH5" s="13">
        <f t="shared" ca="1" si="1"/>
        <v>375.80217596963183</v>
      </c>
      <c r="CI5" s="13">
        <f t="shared" ca="1" si="1"/>
        <v>374.37934841290712</v>
      </c>
      <c r="CJ5" s="13">
        <f t="shared" ca="1" si="1"/>
        <v>364.7420220188406</v>
      </c>
      <c r="CK5" s="13">
        <f t="shared" ca="1" si="1"/>
        <v>358.82962464329518</v>
      </c>
      <c r="CL5" s="13">
        <f t="shared" ca="1" si="1"/>
        <v>363.24046808490021</v>
      </c>
      <c r="CM5" s="13">
        <f t="shared" ca="1" si="1"/>
        <v>359.69604823361959</v>
      </c>
      <c r="CN5" s="13">
        <f t="shared" ca="1" si="1"/>
        <v>358.3186667190775</v>
      </c>
      <c r="CO5" s="13">
        <f t="shared" ca="1" si="1"/>
        <v>373.65723248074642</v>
      </c>
      <c r="CP5" s="13">
        <f t="shared" ca="1" si="1"/>
        <v>366.12499199358717</v>
      </c>
      <c r="CQ5" s="13">
        <f t="shared" ca="1" si="1"/>
        <v>365.91517563712438</v>
      </c>
      <c r="CR5" s="13">
        <f t="shared" ca="1" si="1"/>
        <v>367.68384825251633</v>
      </c>
      <c r="CS5" s="13">
        <f t="shared" ca="1" si="1"/>
        <v>373.4634679404333</v>
      </c>
      <c r="CT5" s="13">
        <f t="shared" ca="1" si="1"/>
        <v>363.46505235921779</v>
      </c>
      <c r="CU5" s="13">
        <f t="shared" ca="1" si="1"/>
        <v>362.45501807910392</v>
      </c>
      <c r="CV5" s="13">
        <f t="shared" ca="1" si="1"/>
        <v>380.2779073460643</v>
      </c>
      <c r="CW5" s="13">
        <f t="shared" ca="1" si="1"/>
        <v>371.48208705471285</v>
      </c>
      <c r="CX5" s="13">
        <f t="shared" ca="1" si="1"/>
        <v>362.57969409709472</v>
      </c>
      <c r="CY5" s="13">
        <f t="shared" ca="1" si="1"/>
        <v>362.39243917663674</v>
      </c>
      <c r="CZ5" s="13">
        <f t="shared" ca="1" si="1"/>
        <v>365.68458089192694</v>
      </c>
      <c r="DA5" s="13">
        <f t="shared" ca="1" si="1"/>
        <v>375.14800350954266</v>
      </c>
      <c r="DB5" s="13">
        <f t="shared" ca="1" si="1"/>
        <v>357.69946139437064</v>
      </c>
      <c r="DC5" s="13">
        <f t="shared" ca="1" si="1"/>
        <v>366.29317755283671</v>
      </c>
      <c r="DD5" s="13">
        <f t="shared" ca="1" si="1"/>
        <v>354.73236535124403</v>
      </c>
      <c r="DE5" s="13">
        <f t="shared" ca="1" si="1"/>
        <v>375.44815384773727</v>
      </c>
    </row>
    <row r="6" spans="1:109" x14ac:dyDescent="0.3">
      <c r="A6">
        <f>YEARFRAC(swap_curve!$C$1,simulation_path!I6,3)</f>
        <v>1.643835616438356E-2</v>
      </c>
      <c r="B6" s="31">
        <f>1-(1-swap_curve!$F$3)/_xlfn.DAYS(swap_curve!$I$2,swap_curve!$C$1)*_xlfn.DAYS(I6,$I$2)</f>
        <v>0.99942463820299321</v>
      </c>
      <c r="C6">
        <f t="shared" si="7"/>
        <v>3.5011249018280156E-2</v>
      </c>
      <c r="D6" s="14">
        <v>0</v>
      </c>
      <c r="E6">
        <f t="shared" si="2"/>
        <v>365.21012795550558</v>
      </c>
      <c r="F6" s="27">
        <f t="shared" ca="1" si="3"/>
        <v>0.29382060737691518</v>
      </c>
      <c r="G6">
        <f t="shared" ca="1" si="4"/>
        <v>364.91630734812867</v>
      </c>
      <c r="H6">
        <f t="shared" ca="1" si="5"/>
        <v>8.8503006420819137</v>
      </c>
      <c r="I6" s="1">
        <f>WORKDAY(I5,1,holiday!A$3:A$864)</f>
        <v>45425</v>
      </c>
      <c r="J6" s="13">
        <f t="shared" ca="1" si="6"/>
        <v>371.92610242398098</v>
      </c>
      <c r="K6" s="13">
        <f t="shared" ca="1" si="0"/>
        <v>351.58089774485245</v>
      </c>
      <c r="L6" s="13">
        <f t="shared" ca="1" si="0"/>
        <v>374.92230984365636</v>
      </c>
      <c r="M6" s="13">
        <f t="shared" ca="1" si="0"/>
        <v>371.65849483536584</v>
      </c>
      <c r="N6" s="13">
        <f t="shared" ca="1" si="0"/>
        <v>352.01173507029642</v>
      </c>
      <c r="O6" s="13">
        <f t="shared" ca="1" si="0"/>
        <v>375.18746961049231</v>
      </c>
      <c r="P6" s="13">
        <f t="shared" ca="1" si="0"/>
        <v>370.39099266309245</v>
      </c>
      <c r="Q6" s="13">
        <f t="shared" ca="1" si="0"/>
        <v>370.65082468685614</v>
      </c>
      <c r="R6" s="13">
        <f t="shared" ca="1" si="0"/>
        <v>361.55533927130153</v>
      </c>
      <c r="S6" s="13">
        <f t="shared" ca="1" si="0"/>
        <v>348.54285338446465</v>
      </c>
      <c r="T6" s="13">
        <f t="shared" ca="1" si="0"/>
        <v>370.69700558101096</v>
      </c>
      <c r="U6" s="13">
        <f t="shared" ca="1" si="0"/>
        <v>351.504615519884</v>
      </c>
      <c r="V6" s="13">
        <f t="shared" ca="1" si="0"/>
        <v>367.45270957184317</v>
      </c>
      <c r="W6" s="13">
        <f t="shared" ca="1" si="0"/>
        <v>376.79694781819018</v>
      </c>
      <c r="X6" s="13">
        <f t="shared" ca="1" si="0"/>
        <v>378.94907803084698</v>
      </c>
      <c r="Y6" s="13">
        <f t="shared" ca="1" si="0"/>
        <v>365.05161926786457</v>
      </c>
      <c r="Z6" s="13">
        <f t="shared" ca="1" si="0"/>
        <v>373.14176168427269</v>
      </c>
      <c r="AA6" s="13">
        <f t="shared" ca="1" si="0"/>
        <v>342.84339555839932</v>
      </c>
      <c r="AB6" s="13">
        <f t="shared" ca="1" si="0"/>
        <v>363.5818016607243</v>
      </c>
      <c r="AC6" s="13">
        <f t="shared" ca="1" si="0"/>
        <v>365.10115889053287</v>
      </c>
      <c r="AD6" s="13">
        <f t="shared" ca="1" si="0"/>
        <v>370.30917696203642</v>
      </c>
      <c r="AE6" s="13">
        <f t="shared" ca="1" si="0"/>
        <v>360.42166233495067</v>
      </c>
      <c r="AF6" s="13">
        <f t="shared" ca="1" si="0"/>
        <v>345.46466907185095</v>
      </c>
      <c r="AG6" s="13">
        <f t="shared" ca="1" si="0"/>
        <v>371.42652388535612</v>
      </c>
      <c r="AH6" s="13">
        <f t="shared" ca="1" si="0"/>
        <v>366.02411347759744</v>
      </c>
      <c r="AI6" s="13">
        <f t="shared" ca="1" si="0"/>
        <v>363.38551801305186</v>
      </c>
      <c r="AJ6" s="13">
        <f t="shared" ca="1" si="0"/>
        <v>357.29060609062077</v>
      </c>
      <c r="AK6" s="13">
        <f t="shared" ca="1" si="0"/>
        <v>369.83599032944807</v>
      </c>
      <c r="AL6" s="13">
        <f t="shared" ca="1" si="0"/>
        <v>351.19683617638384</v>
      </c>
      <c r="AM6" s="13">
        <f t="shared" ca="1" si="0"/>
        <v>362.27264399458039</v>
      </c>
      <c r="AN6" s="13">
        <f t="shared" ca="1" si="0"/>
        <v>367.67991306764924</v>
      </c>
      <c r="AO6" s="13">
        <f t="shared" ca="1" si="0"/>
        <v>373.16976408159928</v>
      </c>
      <c r="AP6" s="13">
        <f t="shared" ca="1" si="0"/>
        <v>356.7662243283624</v>
      </c>
      <c r="AQ6" s="13">
        <f t="shared" ca="1" si="0"/>
        <v>359.47499622163673</v>
      </c>
      <c r="AR6" s="13">
        <f t="shared" ca="1" si="0"/>
        <v>353.02238498319122</v>
      </c>
      <c r="AS6" s="13">
        <f t="shared" ca="1" si="0"/>
        <v>363.80936699192853</v>
      </c>
      <c r="AT6" s="13">
        <f t="shared" ca="1" si="0"/>
        <v>375.45754281938559</v>
      </c>
      <c r="AU6" s="13">
        <f t="shared" ca="1" si="0"/>
        <v>368.19035184824804</v>
      </c>
      <c r="AV6" s="13">
        <f t="shared" ca="1" si="0"/>
        <v>356.35939599664039</v>
      </c>
      <c r="AW6" s="13">
        <f t="shared" ca="1" si="0"/>
        <v>381.48278467193165</v>
      </c>
      <c r="AX6" s="13">
        <f t="shared" ca="1" si="0"/>
        <v>349.97924764746415</v>
      </c>
      <c r="AY6" s="13">
        <f t="shared" ca="1" si="0"/>
        <v>358.68373801066559</v>
      </c>
      <c r="AZ6" s="13">
        <f t="shared" ca="1" si="0"/>
        <v>379.36711865904152</v>
      </c>
      <c r="BA6" s="13">
        <f t="shared" ca="1" si="0"/>
        <v>367.62436498631376</v>
      </c>
      <c r="BB6" s="13">
        <f t="shared" ca="1" si="0"/>
        <v>371.83639115405902</v>
      </c>
      <c r="BC6" s="13">
        <f t="shared" ca="1" si="0"/>
        <v>376.22846189062261</v>
      </c>
      <c r="BD6" s="13">
        <f t="shared" ca="1" si="0"/>
        <v>359.57747355229321</v>
      </c>
      <c r="BE6" s="13">
        <f t="shared" ca="1" si="0"/>
        <v>365.61262093376843</v>
      </c>
      <c r="BF6" s="13">
        <f t="shared" ca="1" si="0"/>
        <v>364.56943891302393</v>
      </c>
      <c r="BG6" s="13">
        <f t="shared" ca="1" si="0"/>
        <v>369.67520441791106</v>
      </c>
      <c r="BH6" s="13">
        <f t="shared" ca="1" si="0"/>
        <v>362.86215271420781</v>
      </c>
      <c r="BI6" s="13">
        <f t="shared" ca="1" si="0"/>
        <v>361.56410984361077</v>
      </c>
      <c r="BJ6" s="13">
        <f t="shared" ca="1" si="0"/>
        <v>373.53682882310795</v>
      </c>
      <c r="BK6" s="13">
        <f t="shared" ca="1" si="0"/>
        <v>377.70773773851619</v>
      </c>
      <c r="BL6" s="13">
        <f t="shared" ca="1" si="0"/>
        <v>357.51121515171172</v>
      </c>
      <c r="BM6" s="13">
        <f t="shared" ca="1" si="0"/>
        <v>366.31920447357624</v>
      </c>
      <c r="BN6" s="13">
        <f t="shared" ca="1" si="0"/>
        <v>372.59482478707775</v>
      </c>
      <c r="BO6" s="13">
        <f t="shared" ca="1" si="0"/>
        <v>361.62318798979732</v>
      </c>
      <c r="BP6" s="13">
        <f t="shared" ca="1" si="0"/>
        <v>370.34071158483624</v>
      </c>
      <c r="BQ6" s="13">
        <f t="shared" ca="1" si="0"/>
        <v>363.7074200623635</v>
      </c>
      <c r="BR6" s="13">
        <f t="shared" ca="1" si="0"/>
        <v>345.77277005456506</v>
      </c>
      <c r="BS6" s="13">
        <f t="shared" ca="1" si="0"/>
        <v>358.74411501331434</v>
      </c>
      <c r="BT6" s="13">
        <f t="shared" ca="1" si="0"/>
        <v>358.33596424254762</v>
      </c>
      <c r="BU6" s="13">
        <f t="shared" ca="1" si="0"/>
        <v>362.68115980420157</v>
      </c>
      <c r="BV6" s="13">
        <f t="shared" ref="BV6:BV23" ca="1" si="8">BV5*EXP(($C6-0.5*$H$1^2)*$A$3*_xlfn.DAYS($I6,$I5)+$H$1*SQRT($A$3*_xlfn.DAYS($I6,$I5))*_xlfn.NORM.S.INV(RAND()))</f>
        <v>350.47785512582476</v>
      </c>
      <c r="BW6" s="13">
        <f t="shared" ca="1" si="1"/>
        <v>364.10389164661098</v>
      </c>
      <c r="BX6" s="13">
        <f t="shared" ca="1" si="1"/>
        <v>374.30693395146608</v>
      </c>
      <c r="BY6" s="13">
        <f t="shared" ca="1" si="1"/>
        <v>376.5427350841569</v>
      </c>
      <c r="BZ6" s="13">
        <f t="shared" ca="1" si="1"/>
        <v>366.32818558222101</v>
      </c>
      <c r="CA6" s="13">
        <f t="shared" ca="1" si="1"/>
        <v>355.66948285820695</v>
      </c>
      <c r="CB6" s="13">
        <f t="shared" ca="1" si="1"/>
        <v>367.34683257484801</v>
      </c>
      <c r="CC6" s="13">
        <f t="shared" ca="1" si="1"/>
        <v>368.88299684057068</v>
      </c>
      <c r="CD6" s="13">
        <f t="shared" ca="1" si="1"/>
        <v>360.62624009236106</v>
      </c>
      <c r="CE6" s="13">
        <f t="shared" ca="1" si="1"/>
        <v>368.5035042407452</v>
      </c>
      <c r="CF6" s="13">
        <f t="shared" ca="1" si="1"/>
        <v>368.79842328689364</v>
      </c>
      <c r="CG6" s="13">
        <f t="shared" ca="1" si="1"/>
        <v>372.51272384392894</v>
      </c>
      <c r="CH6" s="13">
        <f t="shared" ca="1" si="1"/>
        <v>378.45041502319617</v>
      </c>
      <c r="CI6" s="13">
        <f t="shared" ca="1" si="1"/>
        <v>383.31795870955762</v>
      </c>
      <c r="CJ6" s="13">
        <f t="shared" ca="1" si="1"/>
        <v>361.79869898686252</v>
      </c>
      <c r="CK6" s="13">
        <f t="shared" ca="1" si="1"/>
        <v>357.17869565047886</v>
      </c>
      <c r="CL6" s="13">
        <f t="shared" ca="1" si="1"/>
        <v>355.20497603330341</v>
      </c>
      <c r="CM6" s="13">
        <f t="shared" ca="1" si="1"/>
        <v>358.78401520690977</v>
      </c>
      <c r="CN6" s="13">
        <f t="shared" ca="1" si="1"/>
        <v>358.26851617792079</v>
      </c>
      <c r="CO6" s="13">
        <f t="shared" ca="1" si="1"/>
        <v>378.04114733429873</v>
      </c>
      <c r="CP6" s="13">
        <f t="shared" ca="1" si="1"/>
        <v>362.93658386167374</v>
      </c>
      <c r="CQ6" s="13">
        <f t="shared" ca="1" si="1"/>
        <v>374.88760333953019</v>
      </c>
      <c r="CR6" s="13">
        <f t="shared" ca="1" si="1"/>
        <v>357.76554851251893</v>
      </c>
      <c r="CS6" s="13">
        <f t="shared" ca="1" si="1"/>
        <v>367.82503973890181</v>
      </c>
      <c r="CT6" s="13">
        <f t="shared" ca="1" si="1"/>
        <v>356.27778164414707</v>
      </c>
      <c r="CU6" s="13">
        <f t="shared" ca="1" si="1"/>
        <v>364.71235176752094</v>
      </c>
      <c r="CV6" s="13">
        <f t="shared" ca="1" si="1"/>
        <v>381.52673091085808</v>
      </c>
      <c r="CW6" s="13">
        <f t="shared" ca="1" si="1"/>
        <v>368.88235461351957</v>
      </c>
      <c r="CX6" s="13">
        <f t="shared" ca="1" si="1"/>
        <v>362.94986925336332</v>
      </c>
      <c r="CY6" s="13">
        <f t="shared" ca="1" si="1"/>
        <v>354.7479524448492</v>
      </c>
      <c r="CZ6" s="13">
        <f t="shared" ca="1" si="1"/>
        <v>362.92655811935691</v>
      </c>
      <c r="DA6" s="13">
        <f t="shared" ca="1" si="1"/>
        <v>367.43472680786715</v>
      </c>
      <c r="DB6" s="13">
        <f t="shared" ca="1" si="1"/>
        <v>356.60010717237907</v>
      </c>
      <c r="DC6" s="13">
        <f t="shared" ca="1" si="1"/>
        <v>360.61943050360304</v>
      </c>
      <c r="DD6" s="13">
        <f t="shared" ca="1" si="1"/>
        <v>356.12882338080897</v>
      </c>
      <c r="DE6" s="13">
        <f t="shared" ca="1" si="1"/>
        <v>377.22200357863642</v>
      </c>
    </row>
    <row r="7" spans="1:109" x14ac:dyDescent="0.3">
      <c r="A7">
        <f>YEARFRAC(swap_curve!$C$1,simulation_path!I7,3)</f>
        <v>1.9178082191780823E-2</v>
      </c>
      <c r="B7" s="31">
        <f>1-(1-swap_curve!$F$3)/_xlfn.DAYS(swap_curve!$I$2,swap_curve!$C$1)*_xlfn.DAYS(I7,$I$2)</f>
        <v>0.99932874457015886</v>
      </c>
      <c r="C7">
        <f t="shared" si="7"/>
        <v>3.5012928608925437E-2</v>
      </c>
      <c r="D7" s="14">
        <v>0</v>
      </c>
      <c r="E7">
        <f t="shared" si="2"/>
        <v>365.24517280546894</v>
      </c>
      <c r="F7" s="27">
        <f t="shared" ca="1" si="3"/>
        <v>0.25947707711674184</v>
      </c>
      <c r="G7">
        <f t="shared" ca="1" si="4"/>
        <v>364.9856957283522</v>
      </c>
      <c r="H7">
        <f t="shared" ca="1" si="5"/>
        <v>9.0147998121428436</v>
      </c>
      <c r="I7" s="1">
        <f>WORKDAY(I6,1,holiday!A$3:A$864)</f>
        <v>45426</v>
      </c>
      <c r="J7" s="13">
        <f t="shared" ca="1" si="6"/>
        <v>369.36262743086417</v>
      </c>
      <c r="K7" s="13">
        <f t="shared" ref="K7:K23" ca="1" si="9">K6*EXP(($C7-0.5*$H$1^2)*$A$3*_xlfn.DAYS($I7,$I6)+$H$1*SQRT($A$3*_xlfn.DAYS($I7,$I6))*_xlfn.NORM.S.INV(RAND()))</f>
        <v>354.40222749604726</v>
      </c>
      <c r="L7" s="13">
        <f t="shared" ref="L7:L23" ca="1" si="10">L6*EXP(($C7-0.5*$H$1^2)*$A$3*_xlfn.DAYS($I7,$I6)+$H$1*SQRT($A$3*_xlfn.DAYS($I7,$I6))*_xlfn.NORM.S.INV(RAND()))</f>
        <v>380.5746922448954</v>
      </c>
      <c r="M7" s="13">
        <f t="shared" ref="M7:M23" ca="1" si="11">M6*EXP(($C7-0.5*$H$1^2)*$A$3*_xlfn.DAYS($I7,$I6)+$H$1*SQRT($A$3*_xlfn.DAYS($I7,$I6))*_xlfn.NORM.S.INV(RAND()))</f>
        <v>371.1887235362766</v>
      </c>
      <c r="N7" s="13">
        <f t="shared" ref="N7:N23" ca="1" si="12">N6*EXP(($C7-0.5*$H$1^2)*$A$3*_xlfn.DAYS($I7,$I6)+$H$1*SQRT($A$3*_xlfn.DAYS($I7,$I6))*_xlfn.NORM.S.INV(RAND()))</f>
        <v>349.80086446634647</v>
      </c>
      <c r="O7" s="13">
        <f t="shared" ref="O7:O23" ca="1" si="13">O6*EXP(($C7-0.5*$H$1^2)*$A$3*_xlfn.DAYS($I7,$I6)+$H$1*SQRT($A$3*_xlfn.DAYS($I7,$I6))*_xlfn.NORM.S.INV(RAND()))</f>
        <v>372.60129949495638</v>
      </c>
      <c r="P7" s="13">
        <f t="shared" ref="P7:P23" ca="1" si="14">P6*EXP(($C7-0.5*$H$1^2)*$A$3*_xlfn.DAYS($I7,$I6)+$H$1*SQRT($A$3*_xlfn.DAYS($I7,$I6))*_xlfn.NORM.S.INV(RAND()))</f>
        <v>372.77735487651171</v>
      </c>
      <c r="Q7" s="13">
        <f t="shared" ref="Q7:Q23" ca="1" si="15">Q6*EXP(($C7-0.5*$H$1^2)*$A$3*_xlfn.DAYS($I7,$I6)+$H$1*SQRT($A$3*_xlfn.DAYS($I7,$I6))*_xlfn.NORM.S.INV(RAND()))</f>
        <v>365.76454231406859</v>
      </c>
      <c r="R7" s="13">
        <f t="shared" ref="R7:R23" ca="1" si="16">R6*EXP(($C7-0.5*$H$1^2)*$A$3*_xlfn.DAYS($I7,$I6)+$H$1*SQRT($A$3*_xlfn.DAYS($I7,$I6))*_xlfn.NORM.S.INV(RAND()))</f>
        <v>363.97735920925646</v>
      </c>
      <c r="S7" s="13">
        <f t="shared" ref="S7:S23" ca="1" si="17">S6*EXP(($C7-0.5*$H$1^2)*$A$3*_xlfn.DAYS($I7,$I6)+$H$1*SQRT($A$3*_xlfn.DAYS($I7,$I6))*_xlfn.NORM.S.INV(RAND()))</f>
        <v>348.33388846938306</v>
      </c>
      <c r="T7" s="13">
        <f t="shared" ref="T7:T23" ca="1" si="18">T6*EXP(($C7-0.5*$H$1^2)*$A$3*_xlfn.DAYS($I7,$I6)+$H$1*SQRT($A$3*_xlfn.DAYS($I7,$I6))*_xlfn.NORM.S.INV(RAND()))</f>
        <v>370.2839876671282</v>
      </c>
      <c r="U7" s="13">
        <f t="shared" ref="U7:U23" ca="1" si="19">U6*EXP(($C7-0.5*$H$1^2)*$A$3*_xlfn.DAYS($I7,$I6)+$H$1*SQRT($A$3*_xlfn.DAYS($I7,$I6))*_xlfn.NORM.S.INV(RAND()))</f>
        <v>349.73705904152621</v>
      </c>
      <c r="V7" s="13">
        <f t="shared" ref="V7:V23" ca="1" si="20">V6*EXP(($C7-0.5*$H$1^2)*$A$3*_xlfn.DAYS($I7,$I6)+$H$1*SQRT($A$3*_xlfn.DAYS($I7,$I6))*_xlfn.NORM.S.INV(RAND()))</f>
        <v>366.88889546405125</v>
      </c>
      <c r="W7" s="13">
        <f t="shared" ref="W7:W23" ca="1" si="21">W6*EXP(($C7-0.5*$H$1^2)*$A$3*_xlfn.DAYS($I7,$I6)+$H$1*SQRT($A$3*_xlfn.DAYS($I7,$I6))*_xlfn.NORM.S.INV(RAND()))</f>
        <v>375.35178557304118</v>
      </c>
      <c r="X7" s="13">
        <f t="shared" ref="X7:X23" ca="1" si="22">X6*EXP(($C7-0.5*$H$1^2)*$A$3*_xlfn.DAYS($I7,$I6)+$H$1*SQRT($A$3*_xlfn.DAYS($I7,$I6))*_xlfn.NORM.S.INV(RAND()))</f>
        <v>378.56482101012244</v>
      </c>
      <c r="Y7" s="13">
        <f t="shared" ref="Y7:Y23" ca="1" si="23">Y6*EXP(($C7-0.5*$H$1^2)*$A$3*_xlfn.DAYS($I7,$I6)+$H$1*SQRT($A$3*_xlfn.DAYS($I7,$I6))*_xlfn.NORM.S.INV(RAND()))</f>
        <v>361.74217487437028</v>
      </c>
      <c r="Z7" s="13">
        <f t="shared" ref="Z7:Z23" ca="1" si="24">Z6*EXP(($C7-0.5*$H$1^2)*$A$3*_xlfn.DAYS($I7,$I6)+$H$1*SQRT($A$3*_xlfn.DAYS($I7,$I6))*_xlfn.NORM.S.INV(RAND()))</f>
        <v>363.08518361633998</v>
      </c>
      <c r="AA7" s="13">
        <f t="shared" ref="AA7:AA23" ca="1" si="25">AA6*EXP(($C7-0.5*$H$1^2)*$A$3*_xlfn.DAYS($I7,$I6)+$H$1*SQRT($A$3*_xlfn.DAYS($I7,$I6))*_xlfn.NORM.S.INV(RAND()))</f>
        <v>340.53534291752572</v>
      </c>
      <c r="AB7" s="13">
        <f t="shared" ref="AB7:AB23" ca="1" si="26">AB6*EXP(($C7-0.5*$H$1^2)*$A$3*_xlfn.DAYS($I7,$I6)+$H$1*SQRT($A$3*_xlfn.DAYS($I7,$I6))*_xlfn.NORM.S.INV(RAND()))</f>
        <v>368.96843570668432</v>
      </c>
      <c r="AC7" s="13">
        <f t="shared" ref="AC7:AC23" ca="1" si="27">AC6*EXP(($C7-0.5*$H$1^2)*$A$3*_xlfn.DAYS($I7,$I6)+$H$1*SQRT($A$3*_xlfn.DAYS($I7,$I6))*_xlfn.NORM.S.INV(RAND()))</f>
        <v>362.85500857081013</v>
      </c>
      <c r="AD7" s="13">
        <f t="shared" ref="AD7:AD23" ca="1" si="28">AD6*EXP(($C7-0.5*$H$1^2)*$A$3*_xlfn.DAYS($I7,$I6)+$H$1*SQRT($A$3*_xlfn.DAYS($I7,$I6))*_xlfn.NORM.S.INV(RAND()))</f>
        <v>367.32115980119863</v>
      </c>
      <c r="AE7" s="13">
        <f t="shared" ref="AE7:AE23" ca="1" si="29">AE6*EXP(($C7-0.5*$H$1^2)*$A$3*_xlfn.DAYS($I7,$I6)+$H$1*SQRT($A$3*_xlfn.DAYS($I7,$I6))*_xlfn.NORM.S.INV(RAND()))</f>
        <v>362.10764678678311</v>
      </c>
      <c r="AF7" s="13">
        <f t="shared" ref="AF7:AF23" ca="1" si="30">AF6*EXP(($C7-0.5*$H$1^2)*$A$3*_xlfn.DAYS($I7,$I6)+$H$1*SQRT($A$3*_xlfn.DAYS($I7,$I6))*_xlfn.NORM.S.INV(RAND()))</f>
        <v>341.3738675961211</v>
      </c>
      <c r="AG7" s="13">
        <f t="shared" ref="AG7:AG23" ca="1" si="31">AG6*EXP(($C7-0.5*$H$1^2)*$A$3*_xlfn.DAYS($I7,$I6)+$H$1*SQRT($A$3*_xlfn.DAYS($I7,$I6))*_xlfn.NORM.S.INV(RAND()))</f>
        <v>366.97577632839221</v>
      </c>
      <c r="AH7" s="13">
        <f t="shared" ref="AH7:AH23" ca="1" si="32">AH6*EXP(($C7-0.5*$H$1^2)*$A$3*_xlfn.DAYS($I7,$I6)+$H$1*SQRT($A$3*_xlfn.DAYS($I7,$I6))*_xlfn.NORM.S.INV(RAND()))</f>
        <v>366.52363600373104</v>
      </c>
      <c r="AI7" s="13">
        <f t="shared" ref="AI7:AI23" ca="1" si="33">AI6*EXP(($C7-0.5*$H$1^2)*$A$3*_xlfn.DAYS($I7,$I6)+$H$1*SQRT($A$3*_xlfn.DAYS($I7,$I6))*_xlfn.NORM.S.INV(RAND()))</f>
        <v>358.97067564983581</v>
      </c>
      <c r="AJ7" s="13">
        <f t="shared" ref="AJ7:AJ23" ca="1" si="34">AJ6*EXP(($C7-0.5*$H$1^2)*$A$3*_xlfn.DAYS($I7,$I6)+$H$1*SQRT($A$3*_xlfn.DAYS($I7,$I6))*_xlfn.NORM.S.INV(RAND()))</f>
        <v>361.35755163697218</v>
      </c>
      <c r="AK7" s="13">
        <f t="shared" ref="AK7:AK23" ca="1" si="35">AK6*EXP(($C7-0.5*$H$1^2)*$A$3*_xlfn.DAYS($I7,$I6)+$H$1*SQRT($A$3*_xlfn.DAYS($I7,$I6))*_xlfn.NORM.S.INV(RAND()))</f>
        <v>378.23312062890346</v>
      </c>
      <c r="AL7" s="13">
        <f t="shared" ref="AL7:AL23" ca="1" si="36">AL6*EXP(($C7-0.5*$H$1^2)*$A$3*_xlfn.DAYS($I7,$I6)+$H$1*SQRT($A$3*_xlfn.DAYS($I7,$I6))*_xlfn.NORM.S.INV(RAND()))</f>
        <v>348.34734994820207</v>
      </c>
      <c r="AM7" s="13">
        <f t="shared" ref="AM7:AM23" ca="1" si="37">AM6*EXP(($C7-0.5*$H$1^2)*$A$3*_xlfn.DAYS($I7,$I6)+$H$1*SQRT($A$3*_xlfn.DAYS($I7,$I6))*_xlfn.NORM.S.INV(RAND()))</f>
        <v>361.47595328823013</v>
      </c>
      <c r="AN7" s="13">
        <f t="shared" ref="AN7:AN23" ca="1" si="38">AN6*EXP(($C7-0.5*$H$1^2)*$A$3*_xlfn.DAYS($I7,$I6)+$H$1*SQRT($A$3*_xlfn.DAYS($I7,$I6))*_xlfn.NORM.S.INV(RAND()))</f>
        <v>369.25407512234329</v>
      </c>
      <c r="AO7" s="13">
        <f t="shared" ref="AO7:AO23" ca="1" si="39">AO6*EXP(($C7-0.5*$H$1^2)*$A$3*_xlfn.DAYS($I7,$I6)+$H$1*SQRT($A$3*_xlfn.DAYS($I7,$I6))*_xlfn.NORM.S.INV(RAND()))</f>
        <v>374.04763614737067</v>
      </c>
      <c r="AP7" s="13">
        <f t="shared" ref="AP7:AP23" ca="1" si="40">AP6*EXP(($C7-0.5*$H$1^2)*$A$3*_xlfn.DAYS($I7,$I6)+$H$1*SQRT($A$3*_xlfn.DAYS($I7,$I6))*_xlfn.NORM.S.INV(RAND()))</f>
        <v>358.03328586606085</v>
      </c>
      <c r="AQ7" s="13">
        <f t="shared" ref="AQ7:AQ23" ca="1" si="41">AQ6*EXP(($C7-0.5*$H$1^2)*$A$3*_xlfn.DAYS($I7,$I6)+$H$1*SQRT($A$3*_xlfn.DAYS($I7,$I6))*_xlfn.NORM.S.INV(RAND()))</f>
        <v>355.50836610363854</v>
      </c>
      <c r="AR7" s="13">
        <f t="shared" ref="AR7:AR23" ca="1" si="42">AR6*EXP(($C7-0.5*$H$1^2)*$A$3*_xlfn.DAYS($I7,$I6)+$H$1*SQRT($A$3*_xlfn.DAYS($I7,$I6))*_xlfn.NORM.S.INV(RAND()))</f>
        <v>353.40557586215556</v>
      </c>
      <c r="AS7" s="13">
        <f t="shared" ref="AS7:AS23" ca="1" si="43">AS6*EXP(($C7-0.5*$H$1^2)*$A$3*_xlfn.DAYS($I7,$I6)+$H$1*SQRT($A$3*_xlfn.DAYS($I7,$I6))*_xlfn.NORM.S.INV(RAND()))</f>
        <v>369.55350208931497</v>
      </c>
      <c r="AT7" s="13">
        <f t="shared" ref="AT7:AT23" ca="1" si="44">AT6*EXP(($C7-0.5*$H$1^2)*$A$3*_xlfn.DAYS($I7,$I6)+$H$1*SQRT($A$3*_xlfn.DAYS($I7,$I6))*_xlfn.NORM.S.INV(RAND()))</f>
        <v>375.62945428986797</v>
      </c>
      <c r="AU7" s="13">
        <f t="shared" ref="AU7:AU23" ca="1" si="45">AU6*EXP(($C7-0.5*$H$1^2)*$A$3*_xlfn.DAYS($I7,$I6)+$H$1*SQRT($A$3*_xlfn.DAYS($I7,$I6))*_xlfn.NORM.S.INV(RAND()))</f>
        <v>361.75505464356394</v>
      </c>
      <c r="AV7" s="13">
        <f t="shared" ref="AV7:AV23" ca="1" si="46">AV6*EXP(($C7-0.5*$H$1^2)*$A$3*_xlfn.DAYS($I7,$I6)+$H$1*SQRT($A$3*_xlfn.DAYS($I7,$I6))*_xlfn.NORM.S.INV(RAND()))</f>
        <v>362.82624488504433</v>
      </c>
      <c r="AW7" s="13">
        <f t="shared" ref="AW7:AW23" ca="1" si="47">AW6*EXP(($C7-0.5*$H$1^2)*$A$3*_xlfn.DAYS($I7,$I6)+$H$1*SQRT($A$3*_xlfn.DAYS($I7,$I6))*_xlfn.NORM.S.INV(RAND()))</f>
        <v>378.89480146626209</v>
      </c>
      <c r="AX7" s="13">
        <f t="shared" ref="AX7:AX23" ca="1" si="48">AX6*EXP(($C7-0.5*$H$1^2)*$A$3*_xlfn.DAYS($I7,$I6)+$H$1*SQRT($A$3*_xlfn.DAYS($I7,$I6))*_xlfn.NORM.S.INV(RAND()))</f>
        <v>356.1936143735652</v>
      </c>
      <c r="AY7" s="13">
        <f t="shared" ref="AY7:AY23" ca="1" si="49">AY6*EXP(($C7-0.5*$H$1^2)*$A$3*_xlfn.DAYS($I7,$I6)+$H$1*SQRT($A$3*_xlfn.DAYS($I7,$I6))*_xlfn.NORM.S.INV(RAND()))</f>
        <v>361.42032277373556</v>
      </c>
      <c r="AZ7" s="13">
        <f t="shared" ref="AZ7:AZ23" ca="1" si="50">AZ6*EXP(($C7-0.5*$H$1^2)*$A$3*_xlfn.DAYS($I7,$I6)+$H$1*SQRT($A$3*_xlfn.DAYS($I7,$I6))*_xlfn.NORM.S.INV(RAND()))</f>
        <v>379.23745391143683</v>
      </c>
      <c r="BA7" s="13">
        <f t="shared" ref="BA7:BA23" ca="1" si="51">BA6*EXP(($C7-0.5*$H$1^2)*$A$3*_xlfn.DAYS($I7,$I6)+$H$1*SQRT($A$3*_xlfn.DAYS($I7,$I6))*_xlfn.NORM.S.INV(RAND()))</f>
        <v>369.65628198578446</v>
      </c>
      <c r="BB7" s="13">
        <f t="shared" ref="BB7:BB23" ca="1" si="52">BB6*EXP(($C7-0.5*$H$1^2)*$A$3*_xlfn.DAYS($I7,$I6)+$H$1*SQRT($A$3*_xlfn.DAYS($I7,$I6))*_xlfn.NORM.S.INV(RAND()))</f>
        <v>368.22450199328307</v>
      </c>
      <c r="BC7" s="13">
        <f t="shared" ref="BC7:BC23" ca="1" si="53">BC6*EXP(($C7-0.5*$H$1^2)*$A$3*_xlfn.DAYS($I7,$I6)+$H$1*SQRT($A$3*_xlfn.DAYS($I7,$I6))*_xlfn.NORM.S.INV(RAND()))</f>
        <v>377.64980138623616</v>
      </c>
      <c r="BD7" s="13">
        <f t="shared" ref="BD7:BD23" ca="1" si="54">BD6*EXP(($C7-0.5*$H$1^2)*$A$3*_xlfn.DAYS($I7,$I6)+$H$1*SQRT($A$3*_xlfn.DAYS($I7,$I6))*_xlfn.NORM.S.INV(RAND()))</f>
        <v>363.261802458891</v>
      </c>
      <c r="BE7" s="13">
        <f t="shared" ref="BE7:BE23" ca="1" si="55">BE6*EXP(($C7-0.5*$H$1^2)*$A$3*_xlfn.DAYS($I7,$I6)+$H$1*SQRT($A$3*_xlfn.DAYS($I7,$I6))*_xlfn.NORM.S.INV(RAND()))</f>
        <v>367.71598211287693</v>
      </c>
      <c r="BF7" s="13">
        <f t="shared" ref="BF7:BF23" ca="1" si="56">BF6*EXP(($C7-0.5*$H$1^2)*$A$3*_xlfn.DAYS($I7,$I6)+$H$1*SQRT($A$3*_xlfn.DAYS($I7,$I6))*_xlfn.NORM.S.INV(RAND()))</f>
        <v>360.33518048660858</v>
      </c>
      <c r="BG7" s="13">
        <f t="shared" ref="BG7:BG23" ca="1" si="57">BG6*EXP(($C7-0.5*$H$1^2)*$A$3*_xlfn.DAYS($I7,$I6)+$H$1*SQRT($A$3*_xlfn.DAYS($I7,$I6))*_xlfn.NORM.S.INV(RAND()))</f>
        <v>368.0279880499213</v>
      </c>
      <c r="BH7" s="13">
        <f t="shared" ref="BH7:BH23" ca="1" si="58">BH6*EXP(($C7-0.5*$H$1^2)*$A$3*_xlfn.DAYS($I7,$I6)+$H$1*SQRT($A$3*_xlfn.DAYS($I7,$I6))*_xlfn.NORM.S.INV(RAND()))</f>
        <v>354.69691027567507</v>
      </c>
      <c r="BI7" s="13">
        <f t="shared" ref="BI7:BI23" ca="1" si="59">BI6*EXP(($C7-0.5*$H$1^2)*$A$3*_xlfn.DAYS($I7,$I6)+$H$1*SQRT($A$3*_xlfn.DAYS($I7,$I6))*_xlfn.NORM.S.INV(RAND()))</f>
        <v>363.9121519128214</v>
      </c>
      <c r="BJ7" s="13">
        <f t="shared" ref="BJ7:BJ23" ca="1" si="60">BJ6*EXP(($C7-0.5*$H$1^2)*$A$3*_xlfn.DAYS($I7,$I6)+$H$1*SQRT($A$3*_xlfn.DAYS($I7,$I6))*_xlfn.NORM.S.INV(RAND()))</f>
        <v>378.35785185191497</v>
      </c>
      <c r="BK7" s="13">
        <f t="shared" ref="BK7:BK23" ca="1" si="61">BK6*EXP(($C7-0.5*$H$1^2)*$A$3*_xlfn.DAYS($I7,$I6)+$H$1*SQRT($A$3*_xlfn.DAYS($I7,$I6))*_xlfn.NORM.S.INV(RAND()))</f>
        <v>374.45587109046602</v>
      </c>
      <c r="BL7" s="13">
        <f t="shared" ref="BL7:BL23" ca="1" si="62">BL6*EXP(($C7-0.5*$H$1^2)*$A$3*_xlfn.DAYS($I7,$I6)+$H$1*SQRT($A$3*_xlfn.DAYS($I7,$I6))*_xlfn.NORM.S.INV(RAND()))</f>
        <v>354.25554239331308</v>
      </c>
      <c r="BM7" s="13">
        <f t="shared" ref="BM7:BM23" ca="1" si="63">BM6*EXP(($C7-0.5*$H$1^2)*$A$3*_xlfn.DAYS($I7,$I6)+$H$1*SQRT($A$3*_xlfn.DAYS($I7,$I6))*_xlfn.NORM.S.INV(RAND()))</f>
        <v>366.73568766989195</v>
      </c>
      <c r="BN7" s="13">
        <f t="shared" ref="BN7:BN23" ca="1" si="64">BN6*EXP(($C7-0.5*$H$1^2)*$A$3*_xlfn.DAYS($I7,$I6)+$H$1*SQRT($A$3*_xlfn.DAYS($I7,$I6))*_xlfn.NORM.S.INV(RAND()))</f>
        <v>372.12295092379634</v>
      </c>
      <c r="BO7" s="13">
        <f t="shared" ref="BO7:BO23" ca="1" si="65">BO6*EXP(($C7-0.5*$H$1^2)*$A$3*_xlfn.DAYS($I7,$I6)+$H$1*SQRT($A$3*_xlfn.DAYS($I7,$I6))*_xlfn.NORM.S.INV(RAND()))</f>
        <v>360.6426444741922</v>
      </c>
      <c r="BP7" s="13">
        <f t="shared" ref="BP7:BP23" ca="1" si="66">BP6*EXP(($C7-0.5*$H$1^2)*$A$3*_xlfn.DAYS($I7,$I6)+$H$1*SQRT($A$3*_xlfn.DAYS($I7,$I6))*_xlfn.NORM.S.INV(RAND()))</f>
        <v>372.53456178609906</v>
      </c>
      <c r="BQ7" s="13">
        <f t="shared" ref="BQ7:BQ23" ca="1" si="67">BQ6*EXP(($C7-0.5*$H$1^2)*$A$3*_xlfn.DAYS($I7,$I6)+$H$1*SQRT($A$3*_xlfn.DAYS($I7,$I6))*_xlfn.NORM.S.INV(RAND()))</f>
        <v>366.61423148881261</v>
      </c>
      <c r="BR7" s="13">
        <f t="shared" ref="BR7:BR23" ca="1" si="68">BR6*EXP(($C7-0.5*$H$1^2)*$A$3*_xlfn.DAYS($I7,$I6)+$H$1*SQRT($A$3*_xlfn.DAYS($I7,$I6))*_xlfn.NORM.S.INV(RAND()))</f>
        <v>346.14294501457181</v>
      </c>
      <c r="BS7" s="13">
        <f t="shared" ref="BS7:BS23" ca="1" si="69">BS6*EXP(($C7-0.5*$H$1^2)*$A$3*_xlfn.DAYS($I7,$I6)+$H$1*SQRT($A$3*_xlfn.DAYS($I7,$I6))*_xlfn.NORM.S.INV(RAND()))</f>
        <v>354.15783887392558</v>
      </c>
      <c r="BT7" s="13">
        <f t="shared" ref="BT7:BT23" ca="1" si="70">BT6*EXP(($C7-0.5*$H$1^2)*$A$3*_xlfn.DAYS($I7,$I6)+$H$1*SQRT($A$3*_xlfn.DAYS($I7,$I6))*_xlfn.NORM.S.INV(RAND()))</f>
        <v>360.08421048852966</v>
      </c>
      <c r="BU7" s="13">
        <f t="shared" ref="BU7:BU23" ca="1" si="71">BU6*EXP(($C7-0.5*$H$1^2)*$A$3*_xlfn.DAYS($I7,$I6)+$H$1*SQRT($A$3*_xlfn.DAYS($I7,$I6))*_xlfn.NORM.S.INV(RAND()))</f>
        <v>361.25224651678349</v>
      </c>
      <c r="BV7" s="13">
        <f t="shared" ca="1" si="8"/>
        <v>352.10877086613226</v>
      </c>
      <c r="BW7" s="13">
        <f t="shared" ca="1" si="1"/>
        <v>368.71640448390986</v>
      </c>
      <c r="BX7" s="13">
        <f t="shared" ca="1" si="1"/>
        <v>371.81464910228902</v>
      </c>
      <c r="BY7" s="13">
        <f t="shared" ca="1" si="1"/>
        <v>379.00107153056388</v>
      </c>
      <c r="BZ7" s="13">
        <f t="shared" ca="1" si="1"/>
        <v>367.06642192826121</v>
      </c>
      <c r="CA7" s="13">
        <f t="shared" ca="1" si="1"/>
        <v>361.18904941091313</v>
      </c>
      <c r="CB7" s="13">
        <f t="shared" ca="1" si="1"/>
        <v>370.12649793164678</v>
      </c>
      <c r="CC7" s="13">
        <f t="shared" ca="1" si="1"/>
        <v>374.16198680395314</v>
      </c>
      <c r="CD7" s="13">
        <f t="shared" ca="1" si="1"/>
        <v>359.14637015303407</v>
      </c>
      <c r="CE7" s="13">
        <f t="shared" ca="1" si="1"/>
        <v>364.66604652325918</v>
      </c>
      <c r="CF7" s="13">
        <f t="shared" ca="1" si="1"/>
        <v>364.68354284571507</v>
      </c>
      <c r="CG7" s="13">
        <f t="shared" ca="1" si="1"/>
        <v>374.56749838626558</v>
      </c>
      <c r="CH7" s="13">
        <f t="shared" ca="1" si="1"/>
        <v>375.92708233368347</v>
      </c>
      <c r="CI7" s="13">
        <f t="shared" ca="1" si="1"/>
        <v>379.19542684975499</v>
      </c>
      <c r="CJ7" s="13">
        <f t="shared" ca="1" si="1"/>
        <v>366.09533562556391</v>
      </c>
      <c r="CK7" s="13">
        <f t="shared" ca="1" si="1"/>
        <v>358.42250946375935</v>
      </c>
      <c r="CL7" s="13">
        <f t="shared" ca="1" si="1"/>
        <v>354.40297324295921</v>
      </c>
      <c r="CM7" s="13">
        <f t="shared" ca="1" si="1"/>
        <v>362.88444355483188</v>
      </c>
      <c r="CN7" s="13">
        <f t="shared" ca="1" si="1"/>
        <v>359.86273687147747</v>
      </c>
      <c r="CO7" s="13">
        <f t="shared" ca="1" si="1"/>
        <v>379.51051784011582</v>
      </c>
      <c r="CP7" s="13">
        <f t="shared" ca="1" si="1"/>
        <v>364.13134067908476</v>
      </c>
      <c r="CQ7" s="13">
        <f t="shared" ca="1" si="1"/>
        <v>374.2463882653102</v>
      </c>
      <c r="CR7" s="13">
        <f t="shared" ca="1" si="1"/>
        <v>359.33808036037175</v>
      </c>
      <c r="CS7" s="13">
        <f t="shared" ca="1" si="1"/>
        <v>369.29901880645713</v>
      </c>
      <c r="CT7" s="13">
        <f t="shared" ca="1" si="1"/>
        <v>354.27921596644586</v>
      </c>
      <c r="CU7" s="13">
        <f t="shared" ca="1" si="1"/>
        <v>366.48657197357187</v>
      </c>
      <c r="CV7" s="13">
        <f t="shared" ca="1" si="1"/>
        <v>378.55797007267199</v>
      </c>
      <c r="CW7" s="13">
        <f t="shared" ca="1" si="1"/>
        <v>372.4171960591886</v>
      </c>
      <c r="CX7" s="13">
        <f t="shared" ca="1" si="1"/>
        <v>367.55623923668321</v>
      </c>
      <c r="CY7" s="13">
        <f t="shared" ca="1" si="1"/>
        <v>350.93484987188089</v>
      </c>
      <c r="CZ7" s="13">
        <f t="shared" ca="1" si="1"/>
        <v>363.64458004583327</v>
      </c>
      <c r="DA7" s="13">
        <f t="shared" ca="1" si="1"/>
        <v>367.48817978837388</v>
      </c>
      <c r="DB7" s="13">
        <f t="shared" ca="1" si="1"/>
        <v>355.76648414687264</v>
      </c>
      <c r="DC7" s="13">
        <f t="shared" ca="1" si="1"/>
        <v>358.62025655873663</v>
      </c>
      <c r="DD7" s="13">
        <f t="shared" ca="1" si="1"/>
        <v>360.99039378216213</v>
      </c>
      <c r="DE7" s="13">
        <f t="shared" ca="1" si="1"/>
        <v>375.18388905614876</v>
      </c>
    </row>
    <row r="8" spans="1:109" x14ac:dyDescent="0.3">
      <c r="A8">
        <f>YEARFRAC(swap_curve!$C$1,simulation_path!I8,3)</f>
        <v>2.4657534246575342E-2</v>
      </c>
      <c r="B8" s="31">
        <f>1-(1-swap_curve!$F$3)/_xlfn.DAYS(swap_curve!$I$2,swap_curve!$C$1)*_xlfn.DAYS(I8,$I$2)</f>
        <v>0.99913695730448993</v>
      </c>
      <c r="C8">
        <f>-LN(B8)/A8</f>
        <v>3.5016288434961372E-2</v>
      </c>
      <c r="D8" s="14">
        <v>0</v>
      </c>
      <c r="E8">
        <f t="shared" si="2"/>
        <v>365.31528268628063</v>
      </c>
      <c r="F8" s="27">
        <f t="shared" ca="1" si="3"/>
        <v>0.12688930651279406</v>
      </c>
      <c r="G8">
        <f t="shared" ca="1" si="4"/>
        <v>365.18839337976783</v>
      </c>
      <c r="H8">
        <f t="shared" ca="1" si="5"/>
        <v>10.31360634717694</v>
      </c>
      <c r="I8" s="1">
        <f>WORKDAY(I7,1,holiday!A$3:A$864)</f>
        <v>45428</v>
      </c>
      <c r="J8" s="13">
        <f t="shared" ca="1" si="6"/>
        <v>368.80018609030685</v>
      </c>
      <c r="K8" s="13">
        <f t="shared" ca="1" si="9"/>
        <v>352.26162151974665</v>
      </c>
      <c r="L8" s="13">
        <f t="shared" ca="1" si="10"/>
        <v>376.72256271159995</v>
      </c>
      <c r="M8" s="13">
        <f t="shared" ca="1" si="11"/>
        <v>375.24694807223869</v>
      </c>
      <c r="N8" s="13">
        <f t="shared" ca="1" si="12"/>
        <v>341.82555469390678</v>
      </c>
      <c r="O8" s="13">
        <f t="shared" ca="1" si="13"/>
        <v>374.05681973206094</v>
      </c>
      <c r="P8" s="13">
        <f t="shared" ca="1" si="14"/>
        <v>372.07341511385431</v>
      </c>
      <c r="Q8" s="13">
        <f t="shared" ca="1" si="15"/>
        <v>366.67434638207067</v>
      </c>
      <c r="R8" s="13">
        <f t="shared" ca="1" si="16"/>
        <v>366.49982494539825</v>
      </c>
      <c r="S8" s="13">
        <f t="shared" ca="1" si="17"/>
        <v>346.93341635690035</v>
      </c>
      <c r="T8" s="13">
        <f t="shared" ca="1" si="18"/>
        <v>371.2683429475432</v>
      </c>
      <c r="U8" s="13">
        <f t="shared" ca="1" si="19"/>
        <v>359.29869375711814</v>
      </c>
      <c r="V8" s="13">
        <f t="shared" ca="1" si="20"/>
        <v>366.85769742598575</v>
      </c>
      <c r="W8" s="13">
        <f t="shared" ca="1" si="21"/>
        <v>378.86083715791432</v>
      </c>
      <c r="X8" s="13">
        <f t="shared" ca="1" si="22"/>
        <v>377.68200113270257</v>
      </c>
      <c r="Y8" s="13">
        <f t="shared" ca="1" si="23"/>
        <v>368.95233199388394</v>
      </c>
      <c r="Z8" s="13">
        <f t="shared" ca="1" si="24"/>
        <v>366.95489813756939</v>
      </c>
      <c r="AA8" s="13">
        <f t="shared" ca="1" si="25"/>
        <v>338.34582392751582</v>
      </c>
      <c r="AB8" s="13">
        <f t="shared" ca="1" si="26"/>
        <v>368.21875492128606</v>
      </c>
      <c r="AC8" s="13">
        <f t="shared" ca="1" si="27"/>
        <v>364.64041611293561</v>
      </c>
      <c r="AD8" s="13">
        <f t="shared" ca="1" si="28"/>
        <v>362.98338154155857</v>
      </c>
      <c r="AE8" s="13">
        <f t="shared" ca="1" si="29"/>
        <v>360.16548032491164</v>
      </c>
      <c r="AF8" s="13">
        <f t="shared" ca="1" si="30"/>
        <v>341.03851638042823</v>
      </c>
      <c r="AG8" s="13">
        <f t="shared" ca="1" si="31"/>
        <v>370.90168862534802</v>
      </c>
      <c r="AH8" s="13">
        <f t="shared" ca="1" si="32"/>
        <v>371.19734366174924</v>
      </c>
      <c r="AI8" s="13">
        <f t="shared" ca="1" si="33"/>
        <v>363.17097151455414</v>
      </c>
      <c r="AJ8" s="13">
        <f t="shared" ca="1" si="34"/>
        <v>365.12172605789402</v>
      </c>
      <c r="AK8" s="13">
        <f t="shared" ca="1" si="35"/>
        <v>377.67612937533863</v>
      </c>
      <c r="AL8" s="13">
        <f t="shared" ca="1" si="36"/>
        <v>347.93166450333263</v>
      </c>
      <c r="AM8" s="13">
        <f t="shared" ca="1" si="37"/>
        <v>363.38047448635308</v>
      </c>
      <c r="AN8" s="13">
        <f t="shared" ca="1" si="38"/>
        <v>366.89008280453305</v>
      </c>
      <c r="AO8" s="13">
        <f t="shared" ca="1" si="39"/>
        <v>376.16355708740105</v>
      </c>
      <c r="AP8" s="13">
        <f t="shared" ca="1" si="40"/>
        <v>347.63243726172067</v>
      </c>
      <c r="AQ8" s="13">
        <f t="shared" ca="1" si="41"/>
        <v>367.12520590591168</v>
      </c>
      <c r="AR8" s="13">
        <f t="shared" ca="1" si="42"/>
        <v>355.96770998624743</v>
      </c>
      <c r="AS8" s="13">
        <f t="shared" ca="1" si="43"/>
        <v>371.92085678578962</v>
      </c>
      <c r="AT8" s="13">
        <f t="shared" ca="1" si="44"/>
        <v>368.44389551201414</v>
      </c>
      <c r="AU8" s="13">
        <f t="shared" ca="1" si="45"/>
        <v>360.32074963135256</v>
      </c>
      <c r="AV8" s="13">
        <f t="shared" ca="1" si="46"/>
        <v>364.94659559429715</v>
      </c>
      <c r="AW8" s="13">
        <f t="shared" ca="1" si="47"/>
        <v>370.72667327046526</v>
      </c>
      <c r="AX8" s="13">
        <f t="shared" ca="1" si="48"/>
        <v>358.47402981487068</v>
      </c>
      <c r="AY8" s="13">
        <f t="shared" ca="1" si="49"/>
        <v>357.88039798156967</v>
      </c>
      <c r="AZ8" s="13">
        <f t="shared" ca="1" si="50"/>
        <v>376.1166696788149</v>
      </c>
      <c r="BA8" s="13">
        <f t="shared" ca="1" si="51"/>
        <v>371.90253017776888</v>
      </c>
      <c r="BB8" s="13">
        <f t="shared" ca="1" si="52"/>
        <v>373.30862479848457</v>
      </c>
      <c r="BC8" s="13">
        <f t="shared" ca="1" si="53"/>
        <v>374.10039848249909</v>
      </c>
      <c r="BD8" s="13">
        <f t="shared" ca="1" si="54"/>
        <v>370.16869699159417</v>
      </c>
      <c r="BE8" s="13">
        <f t="shared" ca="1" si="55"/>
        <v>366.93004502518681</v>
      </c>
      <c r="BF8" s="13">
        <f t="shared" ca="1" si="56"/>
        <v>359.97542827552115</v>
      </c>
      <c r="BG8" s="13">
        <f t="shared" ca="1" si="57"/>
        <v>371.52508401052489</v>
      </c>
      <c r="BH8" s="13">
        <f t="shared" ca="1" si="58"/>
        <v>358.19132938628184</v>
      </c>
      <c r="BI8" s="13">
        <f t="shared" ca="1" si="59"/>
        <v>353.8943512840969</v>
      </c>
      <c r="BJ8" s="13">
        <f t="shared" ca="1" si="60"/>
        <v>377.76719319595429</v>
      </c>
      <c r="BK8" s="13">
        <f t="shared" ca="1" si="61"/>
        <v>381.72862384396996</v>
      </c>
      <c r="BL8" s="13">
        <f t="shared" ca="1" si="62"/>
        <v>352.50857828519366</v>
      </c>
      <c r="BM8" s="13">
        <f t="shared" ca="1" si="63"/>
        <v>365.56791231894437</v>
      </c>
      <c r="BN8" s="13">
        <f t="shared" ca="1" si="64"/>
        <v>374.18778053315884</v>
      </c>
      <c r="BO8" s="13">
        <f t="shared" ca="1" si="65"/>
        <v>358.0251822388106</v>
      </c>
      <c r="BP8" s="13">
        <f t="shared" ca="1" si="66"/>
        <v>365.52795166435334</v>
      </c>
      <c r="BQ8" s="13">
        <f t="shared" ca="1" si="67"/>
        <v>363.42509930986046</v>
      </c>
      <c r="BR8" s="13">
        <f t="shared" ca="1" si="68"/>
        <v>347.85346874830725</v>
      </c>
      <c r="BS8" s="13">
        <f t="shared" ca="1" si="69"/>
        <v>353.73190507116954</v>
      </c>
      <c r="BT8" s="13">
        <f t="shared" ca="1" si="70"/>
        <v>370.68550209525148</v>
      </c>
      <c r="BU8" s="13">
        <f t="shared" ca="1" si="71"/>
        <v>364.24736354187399</v>
      </c>
      <c r="BV8" s="13">
        <f t="shared" ca="1" si="8"/>
        <v>342.24555251748933</v>
      </c>
      <c r="BW8" s="13">
        <f t="shared" ca="1" si="1"/>
        <v>368.32876791176545</v>
      </c>
      <c r="BX8" s="13">
        <f t="shared" ca="1" si="1"/>
        <v>369.2091917639824</v>
      </c>
      <c r="BY8" s="13">
        <f t="shared" ca="1" si="1"/>
        <v>380.42199940464042</v>
      </c>
      <c r="BZ8" s="13">
        <f t="shared" ca="1" si="1"/>
        <v>368.25944263807401</v>
      </c>
      <c r="CA8" s="13">
        <f t="shared" ca="1" si="1"/>
        <v>356.82005432074828</v>
      </c>
      <c r="CB8" s="13">
        <f t="shared" ca="1" si="1"/>
        <v>371.62597352747377</v>
      </c>
      <c r="CC8" s="13">
        <f t="shared" ca="1" si="1"/>
        <v>381.63291686546194</v>
      </c>
      <c r="CD8" s="13">
        <f t="shared" ca="1" si="1"/>
        <v>348.25931536264557</v>
      </c>
      <c r="CE8" s="13">
        <f t="shared" ca="1" si="1"/>
        <v>367.93991388193467</v>
      </c>
      <c r="CF8" s="13">
        <f t="shared" ca="1" si="1"/>
        <v>363.91297621642548</v>
      </c>
      <c r="CG8" s="13">
        <f t="shared" ca="1" si="1"/>
        <v>372.98389627672566</v>
      </c>
      <c r="CH8" s="13">
        <f t="shared" ca="1" si="1"/>
        <v>373.67160211480274</v>
      </c>
      <c r="CI8" s="13">
        <f t="shared" ca="1" si="1"/>
        <v>389.49806865841839</v>
      </c>
      <c r="CJ8" s="13">
        <f t="shared" ca="1" si="1"/>
        <v>356.26323322483779</v>
      </c>
      <c r="CK8" s="13">
        <f t="shared" ca="1" si="1"/>
        <v>357.1196862863423</v>
      </c>
      <c r="CL8" s="13">
        <f t="shared" ca="1" si="1"/>
        <v>349.8009404608905</v>
      </c>
      <c r="CM8" s="13">
        <f t="shared" ca="1" si="1"/>
        <v>355.71454646562239</v>
      </c>
      <c r="CN8" s="13">
        <f t="shared" ca="1" si="1"/>
        <v>368.27938343227299</v>
      </c>
      <c r="CO8" s="13">
        <f t="shared" ca="1" si="1"/>
        <v>380.7315867763121</v>
      </c>
      <c r="CP8" s="13">
        <f t="shared" ca="1" si="1"/>
        <v>369.42164074451398</v>
      </c>
      <c r="CQ8" s="13">
        <f t="shared" ca="1" si="1"/>
        <v>380.49408644135605</v>
      </c>
      <c r="CR8" s="13">
        <f t="shared" ca="1" si="1"/>
        <v>360.23117573845195</v>
      </c>
      <c r="CS8" s="13">
        <f t="shared" ca="1" si="1"/>
        <v>373.71367632353298</v>
      </c>
      <c r="CT8" s="13">
        <f t="shared" ca="1" si="1"/>
        <v>355.35089685374322</v>
      </c>
      <c r="CU8" s="13">
        <f t="shared" ca="1" si="1"/>
        <v>361.40748789938954</v>
      </c>
      <c r="CV8" s="13">
        <f t="shared" ca="1" si="1"/>
        <v>378.84468649088404</v>
      </c>
      <c r="CW8" s="13">
        <f t="shared" ca="1" si="1"/>
        <v>364.6726862497124</v>
      </c>
      <c r="CX8" s="13">
        <f t="shared" ca="1" si="1"/>
        <v>366.48362717018546</v>
      </c>
      <c r="CY8" s="13">
        <f t="shared" ca="1" si="1"/>
        <v>345.89149344659307</v>
      </c>
      <c r="CZ8" s="13">
        <f t="shared" ca="1" si="1"/>
        <v>367.89250773166486</v>
      </c>
      <c r="DA8" s="13">
        <f t="shared" ca="1" si="1"/>
        <v>374.39035835793578</v>
      </c>
      <c r="DB8" s="13">
        <f t="shared" ca="1" si="1"/>
        <v>358.15032358508171</v>
      </c>
      <c r="DC8" s="13">
        <f t="shared" ca="1" si="1"/>
        <v>361.87423553797402</v>
      </c>
      <c r="DD8" s="13">
        <f t="shared" ca="1" si="1"/>
        <v>356.83650662603736</v>
      </c>
      <c r="DE8" s="13">
        <f t="shared" ca="1" si="1"/>
        <v>376.86112047505327</v>
      </c>
    </row>
    <row r="9" spans="1:109" x14ac:dyDescent="0.3">
      <c r="A9">
        <f>YEARFRAC(swap_curve!$C$1,simulation_path!I9,3)</f>
        <v>2.7397260273972601E-2</v>
      </c>
      <c r="B9" s="31">
        <f>1-(1-swap_curve!$F$3)/_xlfn.DAYS(swap_curve!$I$2,swap_curve!$C$1)*_xlfn.DAYS(I9,$I$2)</f>
        <v>0.99904106367165546</v>
      </c>
      <c r="C9">
        <f t="shared" si="7"/>
        <v>3.5017968670438229E-2</v>
      </c>
      <c r="D9" s="14">
        <v>0</v>
      </c>
      <c r="E9">
        <f t="shared" si="2"/>
        <v>365.350347721003</v>
      </c>
      <c r="F9" s="27">
        <f t="shared" ca="1" si="3"/>
        <v>0.26709662396206113</v>
      </c>
      <c r="G9">
        <f t="shared" ca="1" si="4"/>
        <v>365.08325109704094</v>
      </c>
      <c r="H9">
        <f t="shared" ca="1" si="5"/>
        <v>10.796292345801206</v>
      </c>
      <c r="I9" s="1">
        <f>WORKDAY(I8,1,holiday!A$3:A$864)</f>
        <v>45429</v>
      </c>
      <c r="J9" s="13">
        <f t="shared" ca="1" si="6"/>
        <v>366.9108179920965</v>
      </c>
      <c r="K9" s="13">
        <f t="shared" ca="1" si="9"/>
        <v>354.9350334305438</v>
      </c>
      <c r="L9" s="13">
        <f t="shared" ca="1" si="10"/>
        <v>371.31105054134565</v>
      </c>
      <c r="M9" s="13">
        <f t="shared" ca="1" si="11"/>
        <v>371.18867530110208</v>
      </c>
      <c r="N9" s="13">
        <f t="shared" ca="1" si="12"/>
        <v>340.86921107229091</v>
      </c>
      <c r="O9" s="13">
        <f t="shared" ca="1" si="13"/>
        <v>375.54163643224945</v>
      </c>
      <c r="P9" s="13">
        <f t="shared" ca="1" si="14"/>
        <v>376.68020802703808</v>
      </c>
      <c r="Q9" s="13">
        <f t="shared" ca="1" si="15"/>
        <v>368.83083252357244</v>
      </c>
      <c r="R9" s="13">
        <f t="shared" ca="1" si="16"/>
        <v>366.19178105117669</v>
      </c>
      <c r="S9" s="13">
        <f t="shared" ca="1" si="17"/>
        <v>340.45411544509574</v>
      </c>
      <c r="T9" s="13">
        <f t="shared" ca="1" si="18"/>
        <v>371.35264681071169</v>
      </c>
      <c r="U9" s="13">
        <f t="shared" ca="1" si="19"/>
        <v>361.49343653217119</v>
      </c>
      <c r="V9" s="13">
        <f t="shared" ca="1" si="20"/>
        <v>369.14262253126327</v>
      </c>
      <c r="W9" s="13">
        <f t="shared" ca="1" si="21"/>
        <v>378.01787953444511</v>
      </c>
      <c r="X9" s="13">
        <f t="shared" ca="1" si="22"/>
        <v>374.08470230783519</v>
      </c>
      <c r="Y9" s="13">
        <f t="shared" ca="1" si="23"/>
        <v>373.17780923646336</v>
      </c>
      <c r="Z9" s="13">
        <f t="shared" ca="1" si="24"/>
        <v>364.75295855722902</v>
      </c>
      <c r="AA9" s="13">
        <f t="shared" ca="1" si="25"/>
        <v>337.02803902944754</v>
      </c>
      <c r="AB9" s="13">
        <f t="shared" ca="1" si="26"/>
        <v>365.71667795000968</v>
      </c>
      <c r="AC9" s="13">
        <f t="shared" ca="1" si="27"/>
        <v>364.53663213256584</v>
      </c>
      <c r="AD9" s="13">
        <f t="shared" ca="1" si="28"/>
        <v>358.54034911879052</v>
      </c>
      <c r="AE9" s="13">
        <f t="shared" ca="1" si="29"/>
        <v>358.09542202950968</v>
      </c>
      <c r="AF9" s="13">
        <f t="shared" ca="1" si="30"/>
        <v>349.49224539295921</v>
      </c>
      <c r="AG9" s="13">
        <f t="shared" ca="1" si="31"/>
        <v>362.96638085596555</v>
      </c>
      <c r="AH9" s="13">
        <f t="shared" ca="1" si="32"/>
        <v>371.24082902993291</v>
      </c>
      <c r="AI9" s="13">
        <f t="shared" ca="1" si="33"/>
        <v>368.80840651479014</v>
      </c>
      <c r="AJ9" s="13">
        <f t="shared" ca="1" si="34"/>
        <v>369.83240750006803</v>
      </c>
      <c r="AK9" s="13">
        <f t="shared" ca="1" si="35"/>
        <v>372.90583184161534</v>
      </c>
      <c r="AL9" s="13">
        <f t="shared" ca="1" si="36"/>
        <v>351.63493424366146</v>
      </c>
      <c r="AM9" s="13">
        <f t="shared" ca="1" si="37"/>
        <v>365.85032646058096</v>
      </c>
      <c r="AN9" s="13">
        <f t="shared" ca="1" si="38"/>
        <v>363.17423594723169</v>
      </c>
      <c r="AO9" s="13">
        <f t="shared" ca="1" si="39"/>
        <v>382.83517048798069</v>
      </c>
      <c r="AP9" s="13">
        <f t="shared" ca="1" si="40"/>
        <v>345.85257920141885</v>
      </c>
      <c r="AQ9" s="13">
        <f t="shared" ca="1" si="41"/>
        <v>367.14641038073296</v>
      </c>
      <c r="AR9" s="13">
        <f t="shared" ca="1" si="42"/>
        <v>353.67881240835044</v>
      </c>
      <c r="AS9" s="13">
        <f t="shared" ca="1" si="43"/>
        <v>372.7631976815631</v>
      </c>
      <c r="AT9" s="13">
        <f t="shared" ca="1" si="44"/>
        <v>367.72476475209515</v>
      </c>
      <c r="AU9" s="13">
        <f t="shared" ca="1" si="45"/>
        <v>361.30557208418077</v>
      </c>
      <c r="AV9" s="13">
        <f t="shared" ca="1" si="46"/>
        <v>364.7358695932873</v>
      </c>
      <c r="AW9" s="13">
        <f t="shared" ca="1" si="47"/>
        <v>368.39335687650021</v>
      </c>
      <c r="AX9" s="13">
        <f t="shared" ca="1" si="48"/>
        <v>358.56303563105848</v>
      </c>
      <c r="AY9" s="13">
        <f t="shared" ca="1" si="49"/>
        <v>356.69362588730974</v>
      </c>
      <c r="AZ9" s="13">
        <f t="shared" ca="1" si="50"/>
        <v>375.54155474220318</v>
      </c>
      <c r="BA9" s="13">
        <f t="shared" ca="1" si="51"/>
        <v>369.72613096128629</v>
      </c>
      <c r="BB9" s="13">
        <f t="shared" ca="1" si="52"/>
        <v>377.61353814699027</v>
      </c>
      <c r="BC9" s="13">
        <f t="shared" ca="1" si="53"/>
        <v>378.28920571818981</v>
      </c>
      <c r="BD9" s="13">
        <f t="shared" ca="1" si="54"/>
        <v>366.00528505760229</v>
      </c>
      <c r="BE9" s="13">
        <f t="shared" ca="1" si="55"/>
        <v>373.51032534354113</v>
      </c>
      <c r="BF9" s="13">
        <f t="shared" ca="1" si="56"/>
        <v>360.91055576304393</v>
      </c>
      <c r="BG9" s="13">
        <f t="shared" ca="1" si="57"/>
        <v>373.87180027074709</v>
      </c>
      <c r="BH9" s="13">
        <f t="shared" ca="1" si="58"/>
        <v>362.48045054163094</v>
      </c>
      <c r="BI9" s="13">
        <f t="shared" ca="1" si="59"/>
        <v>357.22574473982462</v>
      </c>
      <c r="BJ9" s="13">
        <f t="shared" ca="1" si="60"/>
        <v>377.98009160179225</v>
      </c>
      <c r="BK9" s="13">
        <f t="shared" ca="1" si="61"/>
        <v>378.80887079344132</v>
      </c>
      <c r="BL9" s="13">
        <f t="shared" ca="1" si="62"/>
        <v>355.22160897188087</v>
      </c>
      <c r="BM9" s="13">
        <f t="shared" ca="1" si="63"/>
        <v>367.10315966884906</v>
      </c>
      <c r="BN9" s="13">
        <f t="shared" ca="1" si="64"/>
        <v>380.30125235498639</v>
      </c>
      <c r="BO9" s="13">
        <f t="shared" ca="1" si="65"/>
        <v>360.92617354982644</v>
      </c>
      <c r="BP9" s="13">
        <f t="shared" ca="1" si="66"/>
        <v>362.39042553560205</v>
      </c>
      <c r="BQ9" s="13">
        <f t="shared" ca="1" si="67"/>
        <v>365.00456054112215</v>
      </c>
      <c r="BR9" s="13">
        <f t="shared" ca="1" si="68"/>
        <v>347.24926461886446</v>
      </c>
      <c r="BS9" s="13">
        <f t="shared" ca="1" si="69"/>
        <v>353.72945629658932</v>
      </c>
      <c r="BT9" s="13">
        <f t="shared" ca="1" si="70"/>
        <v>373.83622888639542</v>
      </c>
      <c r="BU9" s="13">
        <f t="shared" ca="1" si="71"/>
        <v>369.20500245533623</v>
      </c>
      <c r="BV9" s="13">
        <f t="shared" ca="1" si="8"/>
        <v>339.7898037237909</v>
      </c>
      <c r="BW9" s="13">
        <f t="shared" ca="1" si="1"/>
        <v>366.41384945155755</v>
      </c>
      <c r="BX9" s="13">
        <f t="shared" ca="1" si="1"/>
        <v>365.97494115481635</v>
      </c>
      <c r="BY9" s="13">
        <f t="shared" ca="1" si="1"/>
        <v>378.54339518441145</v>
      </c>
      <c r="BZ9" s="13">
        <f t="shared" ca="1" si="1"/>
        <v>364.210941939203</v>
      </c>
      <c r="CA9" s="13">
        <f t="shared" ca="1" si="1"/>
        <v>353.09169950728483</v>
      </c>
      <c r="CB9" s="13">
        <f t="shared" ca="1" si="1"/>
        <v>369.65088223299063</v>
      </c>
      <c r="CC9" s="13">
        <f t="shared" ca="1" si="1"/>
        <v>380.75728921669906</v>
      </c>
      <c r="CD9" s="13">
        <f t="shared" ca="1" si="1"/>
        <v>349.02599716207271</v>
      </c>
      <c r="CE9" s="13">
        <f t="shared" ca="1" si="1"/>
        <v>363.43237318975054</v>
      </c>
      <c r="CF9" s="13">
        <f t="shared" ca="1" si="1"/>
        <v>363.59178763470874</v>
      </c>
      <c r="CG9" s="13">
        <f t="shared" ca="1" si="1"/>
        <v>377.03209002800406</v>
      </c>
      <c r="CH9" s="13">
        <f t="shared" ca="1" si="1"/>
        <v>374.16874942379559</v>
      </c>
      <c r="CI9" s="13">
        <f t="shared" ca="1" si="1"/>
        <v>389.21231882403401</v>
      </c>
      <c r="CJ9" s="13">
        <f t="shared" ca="1" si="1"/>
        <v>356.15125269840036</v>
      </c>
      <c r="CK9" s="13">
        <f t="shared" ca="1" si="1"/>
        <v>358.63670001684989</v>
      </c>
      <c r="CL9" s="13">
        <f t="shared" ca="1" si="1"/>
        <v>348.26706470731489</v>
      </c>
      <c r="CM9" s="13">
        <f t="shared" ca="1" si="1"/>
        <v>349.52800686991066</v>
      </c>
      <c r="CN9" s="13">
        <f t="shared" ca="1" si="1"/>
        <v>367.65509506093161</v>
      </c>
      <c r="CO9" s="13">
        <f t="shared" ca="1" si="1"/>
        <v>382.32700067699778</v>
      </c>
      <c r="CP9" s="13">
        <f t="shared" ca="1" si="1"/>
        <v>366.72964857529564</v>
      </c>
      <c r="CQ9" s="13">
        <f t="shared" ca="1" si="1"/>
        <v>380.41780798272862</v>
      </c>
      <c r="CR9" s="13">
        <f t="shared" ca="1" si="1"/>
        <v>359.83575797987828</v>
      </c>
      <c r="CS9" s="13">
        <f t="shared" ca="1" si="1"/>
        <v>374.79554450576313</v>
      </c>
      <c r="CT9" s="13">
        <f t="shared" ca="1" si="1"/>
        <v>351.59520046484204</v>
      </c>
      <c r="CU9" s="13">
        <f t="shared" ca="1" si="1"/>
        <v>365.83330360344252</v>
      </c>
      <c r="CV9" s="13">
        <f t="shared" ca="1" si="1"/>
        <v>381.20701546595166</v>
      </c>
      <c r="CW9" s="13">
        <f t="shared" ca="1" si="1"/>
        <v>365.38614589332281</v>
      </c>
      <c r="CX9" s="13">
        <f t="shared" ca="1" si="1"/>
        <v>363.30720002517535</v>
      </c>
      <c r="CY9" s="13">
        <f t="shared" ca="1" si="1"/>
        <v>343.10627278774825</v>
      </c>
      <c r="CZ9" s="13">
        <f t="shared" ca="1" si="1"/>
        <v>365.53466229553391</v>
      </c>
      <c r="DA9" s="13">
        <f t="shared" ca="1" si="1"/>
        <v>380.78315553191834</v>
      </c>
      <c r="DB9" s="13">
        <f t="shared" ca="1" si="1"/>
        <v>356.81353016093499</v>
      </c>
      <c r="DC9" s="13">
        <f t="shared" ca="1" si="1"/>
        <v>362.37149646904686</v>
      </c>
      <c r="DD9" s="13">
        <f t="shared" ca="1" si="1"/>
        <v>350.88188289632313</v>
      </c>
      <c r="DE9" s="13">
        <f t="shared" ca="1" si="1"/>
        <v>370.88402944466958</v>
      </c>
    </row>
    <row r="10" spans="1:109" x14ac:dyDescent="0.3">
      <c r="A10">
        <f>YEARFRAC(swap_curve!$C$1,simulation_path!I10,3)</f>
        <v>3.5616438356164383E-2</v>
      </c>
      <c r="B10" s="31">
        <f>1-(1-swap_curve!$F$3)/_xlfn.DAYS(swap_curve!$I$2,swap_curve!$C$1)*_xlfn.DAYS(I10,$I$2)</f>
        <v>0.99875338277315207</v>
      </c>
      <c r="C10">
        <f t="shared" si="7"/>
        <v>3.5023010667261885E-2</v>
      </c>
      <c r="D10" s="14">
        <v>0</v>
      </c>
      <c r="E10">
        <f t="shared" si="2"/>
        <v>365.4555832256969</v>
      </c>
      <c r="F10" s="27">
        <f t="shared" ca="1" si="3"/>
        <v>0.64935934522077332</v>
      </c>
      <c r="G10">
        <f t="shared" ca="1" si="4"/>
        <v>364.80622388047613</v>
      </c>
      <c r="H10">
        <f t="shared" ca="1" si="5"/>
        <v>11.487634916075404</v>
      </c>
      <c r="I10" s="1">
        <f>WORKDAY(I9,1,holiday!A$3:A$864)</f>
        <v>45432</v>
      </c>
      <c r="J10" s="13">
        <f t="shared" ca="1" si="6"/>
        <v>376.31005046265682</v>
      </c>
      <c r="K10" s="13">
        <f t="shared" ca="1" si="9"/>
        <v>358.62013577362177</v>
      </c>
      <c r="L10" s="13">
        <f t="shared" ca="1" si="10"/>
        <v>372.68312378643265</v>
      </c>
      <c r="M10" s="13">
        <f t="shared" ca="1" si="11"/>
        <v>370.9412493951445</v>
      </c>
      <c r="N10" s="13">
        <f t="shared" ca="1" si="12"/>
        <v>348.1636281221945</v>
      </c>
      <c r="O10" s="13">
        <f t="shared" ca="1" si="13"/>
        <v>380.72027368214339</v>
      </c>
      <c r="P10" s="13">
        <f t="shared" ca="1" si="14"/>
        <v>374.50877409897925</v>
      </c>
      <c r="Q10" s="13">
        <f t="shared" ca="1" si="15"/>
        <v>367.5616667637463</v>
      </c>
      <c r="R10" s="13">
        <f t="shared" ca="1" si="16"/>
        <v>376.86779508046897</v>
      </c>
      <c r="S10" s="13">
        <f t="shared" ca="1" si="17"/>
        <v>334.65743672802853</v>
      </c>
      <c r="T10" s="13">
        <f t="shared" ca="1" si="18"/>
        <v>364.64226213675664</v>
      </c>
      <c r="U10" s="13">
        <f t="shared" ca="1" si="19"/>
        <v>363.86391822195031</v>
      </c>
      <c r="V10" s="13">
        <f t="shared" ca="1" si="20"/>
        <v>373.2991097640371</v>
      </c>
      <c r="W10" s="13">
        <f t="shared" ca="1" si="21"/>
        <v>379.14719528529668</v>
      </c>
      <c r="X10" s="13">
        <f t="shared" ca="1" si="22"/>
        <v>375.86271631542024</v>
      </c>
      <c r="Y10" s="13">
        <f t="shared" ca="1" si="23"/>
        <v>377.23447985783162</v>
      </c>
      <c r="Z10" s="13">
        <f t="shared" ca="1" si="24"/>
        <v>366.03054858663285</v>
      </c>
      <c r="AA10" s="13">
        <f t="shared" ca="1" si="25"/>
        <v>350.6868891717337</v>
      </c>
      <c r="AB10" s="13">
        <f t="shared" ca="1" si="26"/>
        <v>366.8817836159173</v>
      </c>
      <c r="AC10" s="13">
        <f t="shared" ca="1" si="27"/>
        <v>366.15162877981669</v>
      </c>
      <c r="AD10" s="13">
        <f t="shared" ca="1" si="28"/>
        <v>356.25855996674488</v>
      </c>
      <c r="AE10" s="13">
        <f t="shared" ca="1" si="29"/>
        <v>367.30458356093635</v>
      </c>
      <c r="AF10" s="13">
        <f t="shared" ca="1" si="30"/>
        <v>350.29938982578921</v>
      </c>
      <c r="AG10" s="13">
        <f t="shared" ca="1" si="31"/>
        <v>349.72545808953714</v>
      </c>
      <c r="AH10" s="13">
        <f t="shared" ca="1" si="32"/>
        <v>369.82826609863866</v>
      </c>
      <c r="AI10" s="13">
        <f t="shared" ca="1" si="33"/>
        <v>376.62690644636302</v>
      </c>
      <c r="AJ10" s="13">
        <f t="shared" ca="1" si="34"/>
        <v>362.6025323190504</v>
      </c>
      <c r="AK10" s="13">
        <f t="shared" ca="1" si="35"/>
        <v>376.07408317739004</v>
      </c>
      <c r="AL10" s="13">
        <f t="shared" ca="1" si="36"/>
        <v>346.31544945134266</v>
      </c>
      <c r="AM10" s="13">
        <f t="shared" ca="1" si="37"/>
        <v>368.00799562494188</v>
      </c>
      <c r="AN10" s="13">
        <f t="shared" ca="1" si="38"/>
        <v>365.7314279034556</v>
      </c>
      <c r="AO10" s="13">
        <f t="shared" ca="1" si="39"/>
        <v>371.96620638109857</v>
      </c>
      <c r="AP10" s="13">
        <f t="shared" ca="1" si="40"/>
        <v>344.44567996477389</v>
      </c>
      <c r="AQ10" s="13">
        <f t="shared" ca="1" si="41"/>
        <v>373.08818185105889</v>
      </c>
      <c r="AR10" s="13">
        <f t="shared" ca="1" si="42"/>
        <v>360.08553997550132</v>
      </c>
      <c r="AS10" s="13">
        <f t="shared" ca="1" si="43"/>
        <v>367.61174097046893</v>
      </c>
      <c r="AT10" s="13">
        <f t="shared" ca="1" si="44"/>
        <v>369.53453418070762</v>
      </c>
      <c r="AU10" s="13">
        <f t="shared" ca="1" si="45"/>
        <v>354.31809458990119</v>
      </c>
      <c r="AV10" s="13">
        <f t="shared" ca="1" si="46"/>
        <v>364.40239245939011</v>
      </c>
      <c r="AW10" s="13">
        <f t="shared" ca="1" si="47"/>
        <v>355.83176554231613</v>
      </c>
      <c r="AX10" s="13">
        <f t="shared" ca="1" si="48"/>
        <v>350.60140134646616</v>
      </c>
      <c r="AY10" s="13">
        <f t="shared" ca="1" si="49"/>
        <v>360.71923179769652</v>
      </c>
      <c r="AZ10" s="13">
        <f t="shared" ca="1" si="50"/>
        <v>364.76888079725842</v>
      </c>
      <c r="BA10" s="13">
        <f t="shared" ca="1" si="51"/>
        <v>370.20052426270041</v>
      </c>
      <c r="BB10" s="13">
        <f t="shared" ca="1" si="52"/>
        <v>383.18760224130267</v>
      </c>
      <c r="BC10" s="13">
        <f t="shared" ca="1" si="53"/>
        <v>378.39657838439501</v>
      </c>
      <c r="BD10" s="13">
        <f t="shared" ca="1" si="54"/>
        <v>368.8176633022602</v>
      </c>
      <c r="BE10" s="13">
        <f t="shared" ca="1" si="55"/>
        <v>375.16721091973659</v>
      </c>
      <c r="BF10" s="13">
        <f t="shared" ca="1" si="56"/>
        <v>363.45203880700751</v>
      </c>
      <c r="BG10" s="13">
        <f t="shared" ca="1" si="57"/>
        <v>380.9374919811882</v>
      </c>
      <c r="BH10" s="13">
        <f t="shared" ca="1" si="58"/>
        <v>364.02415771943589</v>
      </c>
      <c r="BI10" s="13">
        <f t="shared" ca="1" si="59"/>
        <v>360.83030171349583</v>
      </c>
      <c r="BJ10" s="13">
        <f t="shared" ca="1" si="60"/>
        <v>367.96505064939208</v>
      </c>
      <c r="BK10" s="13">
        <f t="shared" ca="1" si="61"/>
        <v>378.79066774892732</v>
      </c>
      <c r="BL10" s="13">
        <f t="shared" ca="1" si="62"/>
        <v>353.87019287011776</v>
      </c>
      <c r="BM10" s="13">
        <f t="shared" ca="1" si="63"/>
        <v>378.86832803619018</v>
      </c>
      <c r="BN10" s="13">
        <f t="shared" ca="1" si="64"/>
        <v>388.39051608700055</v>
      </c>
      <c r="BO10" s="13">
        <f t="shared" ca="1" si="65"/>
        <v>357.75981875161904</v>
      </c>
      <c r="BP10" s="13">
        <f t="shared" ca="1" si="66"/>
        <v>355.01608966988624</v>
      </c>
      <c r="BQ10" s="13">
        <f t="shared" ca="1" si="67"/>
        <v>365.38273195185883</v>
      </c>
      <c r="BR10" s="13">
        <f t="shared" ca="1" si="68"/>
        <v>354.11430919150718</v>
      </c>
      <c r="BS10" s="13">
        <f t="shared" ca="1" si="69"/>
        <v>348.38507763707554</v>
      </c>
      <c r="BT10" s="13">
        <f t="shared" ca="1" si="70"/>
        <v>375.46933258744127</v>
      </c>
      <c r="BU10" s="13">
        <f t="shared" ca="1" si="71"/>
        <v>372.07545347825203</v>
      </c>
      <c r="BV10" s="13">
        <f t="shared" ca="1" si="8"/>
        <v>337.19785933622359</v>
      </c>
      <c r="BW10" s="13">
        <f t="shared" ca="1" si="1"/>
        <v>365.25862496651922</v>
      </c>
      <c r="BX10" s="13">
        <f t="shared" ca="1" si="1"/>
        <v>361.30529084458055</v>
      </c>
      <c r="BY10" s="13">
        <f t="shared" ca="1" si="1"/>
        <v>378.52091408494988</v>
      </c>
      <c r="BZ10" s="13">
        <f t="shared" ca="1" si="1"/>
        <v>365.50306150713504</v>
      </c>
      <c r="CA10" s="13">
        <f t="shared" ca="1" si="1"/>
        <v>349.41710649239798</v>
      </c>
      <c r="CB10" s="13">
        <f t="shared" ca="1" si="1"/>
        <v>359.3119043484657</v>
      </c>
      <c r="CC10" s="13">
        <f t="shared" ca="1" si="1"/>
        <v>379.32430436648588</v>
      </c>
      <c r="CD10" s="13">
        <f t="shared" ca="1" si="1"/>
        <v>344.84338787821082</v>
      </c>
      <c r="CE10" s="13">
        <f t="shared" ca="1" si="1"/>
        <v>370.64028174145591</v>
      </c>
      <c r="CF10" s="13">
        <f t="shared" ca="1" si="1"/>
        <v>361.63269803866041</v>
      </c>
      <c r="CG10" s="13">
        <f t="shared" ref="CG10:CG23" ca="1" si="72">CG9*EXP(($C10-0.5*$H$1^2)*$A$3*_xlfn.DAYS($I10,$I9)+$H$1*SQRT($A$3*_xlfn.DAYS($I10,$I9))*_xlfn.NORM.S.INV(RAND()))</f>
        <v>365.769642369937</v>
      </c>
      <c r="CH10" s="13">
        <f t="shared" ref="CH10:CH23" ca="1" si="73">CH9*EXP(($C10-0.5*$H$1^2)*$A$3*_xlfn.DAYS($I10,$I9)+$H$1*SQRT($A$3*_xlfn.DAYS($I10,$I9))*_xlfn.NORM.S.INV(RAND()))</f>
        <v>365.42753281377298</v>
      </c>
      <c r="CI10" s="13">
        <f t="shared" ref="CI10:CI23" ca="1" si="74">CI9*EXP(($C10-0.5*$H$1^2)*$A$3*_xlfn.DAYS($I10,$I9)+$H$1*SQRT($A$3*_xlfn.DAYS($I10,$I9))*_xlfn.NORM.S.INV(RAND()))</f>
        <v>393.55252364708684</v>
      </c>
      <c r="CJ10" s="13">
        <f t="shared" ref="CJ10:CJ23" ca="1" si="75">CJ9*EXP(($C10-0.5*$H$1^2)*$A$3*_xlfn.DAYS($I10,$I9)+$H$1*SQRT($A$3*_xlfn.DAYS($I10,$I9))*_xlfn.NORM.S.INV(RAND()))</f>
        <v>358.44348423491806</v>
      </c>
      <c r="CK10" s="13">
        <f t="shared" ref="CK10:CK23" ca="1" si="76">CK9*EXP(($C10-0.5*$H$1^2)*$A$3*_xlfn.DAYS($I10,$I9)+$H$1*SQRT($A$3*_xlfn.DAYS($I10,$I9))*_xlfn.NORM.S.INV(RAND()))</f>
        <v>358.08528358219638</v>
      </c>
      <c r="CL10" s="13">
        <f t="shared" ref="CL10:CL23" ca="1" si="77">CL9*EXP(($C10-0.5*$H$1^2)*$A$3*_xlfn.DAYS($I10,$I9)+$H$1*SQRT($A$3*_xlfn.DAYS($I10,$I9))*_xlfn.NORM.S.INV(RAND()))</f>
        <v>344.7451697055576</v>
      </c>
      <c r="CM10" s="13">
        <f t="shared" ref="CM10:CM23" ca="1" si="78">CM9*EXP(($C10-0.5*$H$1^2)*$A$3*_xlfn.DAYS($I10,$I9)+$H$1*SQRT($A$3*_xlfn.DAYS($I10,$I9))*_xlfn.NORM.S.INV(RAND()))</f>
        <v>352.52238803957442</v>
      </c>
      <c r="CN10" s="13">
        <f t="shared" ref="CN10:CN23" ca="1" si="79">CN9*EXP(($C10-0.5*$H$1^2)*$A$3*_xlfn.DAYS($I10,$I9)+$H$1*SQRT($A$3*_xlfn.DAYS($I10,$I9))*_xlfn.NORM.S.INV(RAND()))</f>
        <v>369.24312726764498</v>
      </c>
      <c r="CO10" s="13">
        <f t="shared" ref="CO10:CO23" ca="1" si="80">CO9*EXP(($C10-0.5*$H$1^2)*$A$3*_xlfn.DAYS($I10,$I9)+$H$1*SQRT($A$3*_xlfn.DAYS($I10,$I9))*_xlfn.NORM.S.INV(RAND()))</f>
        <v>377.4052973456985</v>
      </c>
      <c r="CP10" s="13">
        <f t="shared" ref="CP10:CP23" ca="1" si="81">CP9*EXP(($C10-0.5*$H$1^2)*$A$3*_xlfn.DAYS($I10,$I9)+$H$1*SQRT($A$3*_xlfn.DAYS($I10,$I9))*_xlfn.NORM.S.INV(RAND()))</f>
        <v>358.55144428573334</v>
      </c>
      <c r="CQ10" s="13">
        <f t="shared" ref="CQ10:CQ23" ca="1" si="82">CQ9*EXP(($C10-0.5*$H$1^2)*$A$3*_xlfn.DAYS($I10,$I9)+$H$1*SQRT($A$3*_xlfn.DAYS($I10,$I9))*_xlfn.NORM.S.INV(RAND()))</f>
        <v>385.73676785140367</v>
      </c>
      <c r="CR10" s="13">
        <f t="shared" ref="CR10:CR23" ca="1" si="83">CR9*EXP(($C10-0.5*$H$1^2)*$A$3*_xlfn.DAYS($I10,$I9)+$H$1*SQRT($A$3*_xlfn.DAYS($I10,$I9))*_xlfn.NORM.S.INV(RAND()))</f>
        <v>359.71848740218724</v>
      </c>
      <c r="CS10" s="13">
        <f t="shared" ref="CS10:CS23" ca="1" si="84">CS9*EXP(($C10-0.5*$H$1^2)*$A$3*_xlfn.DAYS($I10,$I9)+$H$1*SQRT($A$3*_xlfn.DAYS($I10,$I9))*_xlfn.NORM.S.INV(RAND()))</f>
        <v>371.28920443251877</v>
      </c>
      <c r="CT10" s="13">
        <f t="shared" ref="CT10:CT23" ca="1" si="85">CT9*EXP(($C10-0.5*$H$1^2)*$A$3*_xlfn.DAYS($I10,$I9)+$H$1*SQRT($A$3*_xlfn.DAYS($I10,$I9))*_xlfn.NORM.S.INV(RAND()))</f>
        <v>346.54992966669744</v>
      </c>
      <c r="CU10" s="13">
        <f t="shared" ref="CU10:CU23" ca="1" si="86">CU9*EXP(($C10-0.5*$H$1^2)*$A$3*_xlfn.DAYS($I10,$I9)+$H$1*SQRT($A$3*_xlfn.DAYS($I10,$I9))*_xlfn.NORM.S.INV(RAND()))</f>
        <v>360.00563581216073</v>
      </c>
      <c r="CV10" s="13">
        <f t="shared" ref="CV10:CV23" ca="1" si="87">CV9*EXP(($C10-0.5*$H$1^2)*$A$3*_xlfn.DAYS($I10,$I9)+$H$1*SQRT($A$3*_xlfn.DAYS($I10,$I9))*_xlfn.NORM.S.INV(RAND()))</f>
        <v>381.08769247190111</v>
      </c>
      <c r="CW10" s="13">
        <f t="shared" ref="CW10:CW23" ca="1" si="88">CW9*EXP(($C10-0.5*$H$1^2)*$A$3*_xlfn.DAYS($I10,$I9)+$H$1*SQRT($A$3*_xlfn.DAYS($I10,$I9))*_xlfn.NORM.S.INV(RAND()))</f>
        <v>365.42150064897106</v>
      </c>
      <c r="CX10" s="13">
        <f t="shared" ref="CX10:CX23" ca="1" si="89">CX9*EXP(($C10-0.5*$H$1^2)*$A$3*_xlfn.DAYS($I10,$I9)+$H$1*SQRT($A$3*_xlfn.DAYS($I10,$I9))*_xlfn.NORM.S.INV(RAND()))</f>
        <v>367.36791874354566</v>
      </c>
      <c r="CY10" s="13">
        <f t="shared" ref="CY10:CY23" ca="1" si="90">CY9*EXP(($C10-0.5*$H$1^2)*$A$3*_xlfn.DAYS($I10,$I9)+$H$1*SQRT($A$3*_xlfn.DAYS($I10,$I9))*_xlfn.NORM.S.INV(RAND()))</f>
        <v>348.52213088272276</v>
      </c>
      <c r="CZ10" s="13">
        <f t="shared" ref="CZ10:CZ23" ca="1" si="91">CZ9*EXP(($C10-0.5*$H$1^2)*$A$3*_xlfn.DAYS($I10,$I9)+$H$1*SQRT($A$3*_xlfn.DAYS($I10,$I9))*_xlfn.NORM.S.INV(RAND()))</f>
        <v>361.17661339431714</v>
      </c>
      <c r="DA10" s="13">
        <f t="shared" ref="DA10:DA23" ca="1" si="92">DA9*EXP(($C10-0.5*$H$1^2)*$A$3*_xlfn.DAYS($I10,$I9)+$H$1*SQRT($A$3*_xlfn.DAYS($I10,$I9))*_xlfn.NORM.S.INV(RAND()))</f>
        <v>376.39651877647418</v>
      </c>
      <c r="DB10" s="13">
        <f t="shared" ref="DB10:DB23" ca="1" si="93">DB9*EXP(($C10-0.5*$H$1^2)*$A$3*_xlfn.DAYS($I10,$I9)+$H$1*SQRT($A$3*_xlfn.DAYS($I10,$I9))*_xlfn.NORM.S.INV(RAND()))</f>
        <v>356.42674530420578</v>
      </c>
      <c r="DC10" s="13">
        <f t="shared" ref="DC10:DC23" ca="1" si="94">DC9*EXP(($C10-0.5*$H$1^2)*$A$3*_xlfn.DAYS($I10,$I9)+$H$1*SQRT($A$3*_xlfn.DAYS($I10,$I9))*_xlfn.NORM.S.INV(RAND()))</f>
        <v>358.45553232704066</v>
      </c>
      <c r="DD10" s="13">
        <f t="shared" ref="DD10:DD23" ca="1" si="95">DD9*EXP(($C10-0.5*$H$1^2)*$A$3*_xlfn.DAYS($I10,$I9)+$H$1*SQRT($A$3*_xlfn.DAYS($I10,$I9))*_xlfn.NORM.S.INV(RAND()))</f>
        <v>349.73211541689204</v>
      </c>
      <c r="DE10" s="13">
        <f t="shared" ref="DE10:DE23" ca="1" si="96">DE9*EXP(($C10-0.5*$H$1^2)*$A$3*_xlfn.DAYS($I10,$I9)+$H$1*SQRT($A$3*_xlfn.DAYS($I10,$I9))*_xlfn.NORM.S.INV(RAND()))</f>
        <v>363.95016207893747</v>
      </c>
    </row>
    <row r="11" spans="1:109" x14ac:dyDescent="0.3">
      <c r="A11">
        <f>YEARFRAC(swap_curve!$C$1,simulation_path!I11,3)</f>
        <v>3.8356164383561646E-2</v>
      </c>
      <c r="B11" s="31">
        <f>1-(1-swap_curve!$F$3)/_xlfn.DAYS(swap_curve!$I$2,swap_curve!$C$1)*_xlfn.DAYS(I11,$I$2)</f>
        <v>0.9986574891403176</v>
      </c>
      <c r="C11">
        <f t="shared" si="7"/>
        <v>3.5024691763155716E-2</v>
      </c>
      <c r="D11" s="14">
        <v>0</v>
      </c>
      <c r="E11">
        <f t="shared" si="2"/>
        <v>365.4906752005694</v>
      </c>
      <c r="F11" s="27">
        <f t="shared" ca="1" si="3"/>
        <v>0.64132466370733709</v>
      </c>
      <c r="G11">
        <f t="shared" ca="1" si="4"/>
        <v>364.84935053686206</v>
      </c>
      <c r="H11">
        <f t="shared" ca="1" si="5"/>
        <v>11.84830724240819</v>
      </c>
      <c r="I11" s="1">
        <f>WORKDAY(I10,1,holiday!A$3:A$864)</f>
        <v>45433</v>
      </c>
      <c r="J11" s="13">
        <f t="shared" ca="1" si="6"/>
        <v>372.1531091819208</v>
      </c>
      <c r="K11" s="13">
        <f t="shared" ca="1" si="9"/>
        <v>359.0065616246643</v>
      </c>
      <c r="L11" s="13">
        <f t="shared" ca="1" si="10"/>
        <v>376.66137812761548</v>
      </c>
      <c r="M11" s="13">
        <f t="shared" ca="1" si="11"/>
        <v>365.17342891218476</v>
      </c>
      <c r="N11" s="13">
        <f t="shared" ca="1" si="12"/>
        <v>347.8550173376326</v>
      </c>
      <c r="O11" s="13">
        <f t="shared" ca="1" si="13"/>
        <v>385.81498139321042</v>
      </c>
      <c r="P11" s="13">
        <f t="shared" ca="1" si="14"/>
        <v>373.85153538952636</v>
      </c>
      <c r="Q11" s="13">
        <f t="shared" ca="1" si="15"/>
        <v>371.59733129361058</v>
      </c>
      <c r="R11" s="13">
        <f t="shared" ca="1" si="16"/>
        <v>372.46328807996991</v>
      </c>
      <c r="S11" s="13">
        <f t="shared" ca="1" si="17"/>
        <v>335.00145993345222</v>
      </c>
      <c r="T11" s="13">
        <f t="shared" ca="1" si="18"/>
        <v>363.8857636814443</v>
      </c>
      <c r="U11" s="13">
        <f t="shared" ca="1" si="19"/>
        <v>363.18932314688323</v>
      </c>
      <c r="V11" s="13">
        <f t="shared" ca="1" si="20"/>
        <v>372.30909017896721</v>
      </c>
      <c r="W11" s="13">
        <f t="shared" ca="1" si="21"/>
        <v>374.38900048653818</v>
      </c>
      <c r="X11" s="13">
        <f t="shared" ca="1" si="22"/>
        <v>385.98146112286946</v>
      </c>
      <c r="Y11" s="13">
        <f t="shared" ca="1" si="23"/>
        <v>378.75766505560819</v>
      </c>
      <c r="Z11" s="13">
        <f t="shared" ca="1" si="24"/>
        <v>357.47849881572745</v>
      </c>
      <c r="AA11" s="13">
        <f t="shared" ca="1" si="25"/>
        <v>349.09540291721845</v>
      </c>
      <c r="AB11" s="13">
        <f t="shared" ca="1" si="26"/>
        <v>371.02721501998894</v>
      </c>
      <c r="AC11" s="13">
        <f t="shared" ca="1" si="27"/>
        <v>361.64577345352649</v>
      </c>
      <c r="AD11" s="13">
        <f t="shared" ca="1" si="28"/>
        <v>359.53466637210511</v>
      </c>
      <c r="AE11" s="13">
        <f t="shared" ca="1" si="29"/>
        <v>359.75196942943757</v>
      </c>
      <c r="AF11" s="13">
        <f t="shared" ca="1" si="30"/>
        <v>353.40004850854791</v>
      </c>
      <c r="AG11" s="13">
        <f t="shared" ca="1" si="31"/>
        <v>356.68518756498042</v>
      </c>
      <c r="AH11" s="13">
        <f t="shared" ca="1" si="32"/>
        <v>367.62895292094953</v>
      </c>
      <c r="AI11" s="13">
        <f t="shared" ca="1" si="33"/>
        <v>374.87983757210537</v>
      </c>
      <c r="AJ11" s="13">
        <f t="shared" ca="1" si="34"/>
        <v>363.51470697553412</v>
      </c>
      <c r="AK11" s="13">
        <f t="shared" ca="1" si="35"/>
        <v>379.15441437399323</v>
      </c>
      <c r="AL11" s="13">
        <f t="shared" ca="1" si="36"/>
        <v>344.26750788593989</v>
      </c>
      <c r="AM11" s="13">
        <f t="shared" ca="1" si="37"/>
        <v>364.06524275815917</v>
      </c>
      <c r="AN11" s="13">
        <f t="shared" ca="1" si="38"/>
        <v>368.84884911370392</v>
      </c>
      <c r="AO11" s="13">
        <f t="shared" ca="1" si="39"/>
        <v>372.02744558265624</v>
      </c>
      <c r="AP11" s="13">
        <f t="shared" ca="1" si="40"/>
        <v>343.74822317243314</v>
      </c>
      <c r="AQ11" s="13">
        <f t="shared" ca="1" si="41"/>
        <v>373.92832553398</v>
      </c>
      <c r="AR11" s="13">
        <f t="shared" ca="1" si="42"/>
        <v>370.40761313698601</v>
      </c>
      <c r="AS11" s="13">
        <f t="shared" ca="1" si="43"/>
        <v>366.35047948056325</v>
      </c>
      <c r="AT11" s="13">
        <f t="shared" ca="1" si="44"/>
        <v>369.13101372317726</v>
      </c>
      <c r="AU11" s="13">
        <f t="shared" ca="1" si="45"/>
        <v>355.27541487237141</v>
      </c>
      <c r="AV11" s="13">
        <f t="shared" ca="1" si="46"/>
        <v>366.79042792525917</v>
      </c>
      <c r="AW11" s="13">
        <f t="shared" ca="1" si="47"/>
        <v>353.86162697049019</v>
      </c>
      <c r="AX11" s="13">
        <f t="shared" ca="1" si="48"/>
        <v>349.68641765875316</v>
      </c>
      <c r="AY11" s="13">
        <f t="shared" ca="1" si="49"/>
        <v>359.93784365202225</v>
      </c>
      <c r="AZ11" s="13">
        <f t="shared" ca="1" si="50"/>
        <v>364.45506605328546</v>
      </c>
      <c r="BA11" s="13">
        <f t="shared" ca="1" si="51"/>
        <v>369.43509250161162</v>
      </c>
      <c r="BB11" s="13">
        <f t="shared" ca="1" si="52"/>
        <v>379.65720125589564</v>
      </c>
      <c r="BC11" s="13">
        <f t="shared" ca="1" si="53"/>
        <v>381.5153578235483</v>
      </c>
      <c r="BD11" s="13">
        <f t="shared" ca="1" si="54"/>
        <v>368.05995384673895</v>
      </c>
      <c r="BE11" s="13">
        <f t="shared" ca="1" si="55"/>
        <v>369.66366703722554</v>
      </c>
      <c r="BF11" s="13">
        <f t="shared" ca="1" si="56"/>
        <v>363.39060073084454</v>
      </c>
      <c r="BG11" s="13">
        <f t="shared" ca="1" si="57"/>
        <v>385.82716795830669</v>
      </c>
      <c r="BH11" s="13">
        <f t="shared" ca="1" si="58"/>
        <v>363.50644241778485</v>
      </c>
      <c r="BI11" s="13">
        <f t="shared" ca="1" si="59"/>
        <v>362.09179552400218</v>
      </c>
      <c r="BJ11" s="13">
        <f t="shared" ca="1" si="60"/>
        <v>360.15457590613732</v>
      </c>
      <c r="BK11" s="13">
        <f t="shared" ca="1" si="61"/>
        <v>381.81807011666388</v>
      </c>
      <c r="BL11" s="13">
        <f t="shared" ca="1" si="62"/>
        <v>355.01758520097366</v>
      </c>
      <c r="BM11" s="13">
        <f t="shared" ca="1" si="63"/>
        <v>385.26259868527541</v>
      </c>
      <c r="BN11" s="13">
        <f t="shared" ca="1" si="64"/>
        <v>386.39533755893189</v>
      </c>
      <c r="BO11" s="13">
        <f t="shared" ca="1" si="65"/>
        <v>359.16539013345209</v>
      </c>
      <c r="BP11" s="13">
        <f t="shared" ca="1" si="66"/>
        <v>350.17999225917816</v>
      </c>
      <c r="BQ11" s="13">
        <f t="shared" ca="1" si="67"/>
        <v>360.49195861434816</v>
      </c>
      <c r="BR11" s="13">
        <f t="shared" ca="1" si="68"/>
        <v>353.50674101739565</v>
      </c>
      <c r="BS11" s="13">
        <f t="shared" ca="1" si="69"/>
        <v>347.89586084492703</v>
      </c>
      <c r="BT11" s="13">
        <f t="shared" ca="1" si="70"/>
        <v>376.99972184387514</v>
      </c>
      <c r="BU11" s="13">
        <f t="shared" ca="1" si="71"/>
        <v>372.23216185039314</v>
      </c>
      <c r="BV11" s="13">
        <f t="shared" ca="1" si="8"/>
        <v>341.11491674444392</v>
      </c>
      <c r="BW11" s="13">
        <f t="shared" ref="BW11:BW23" ca="1" si="97">BW10*EXP(($C11-0.5*$H$1^2)*$A$3*_xlfn.DAYS($I11,$I10)+$H$1*SQRT($A$3*_xlfn.DAYS($I11,$I10))*_xlfn.NORM.S.INV(RAND()))</f>
        <v>367.20920525437515</v>
      </c>
      <c r="BX11" s="13">
        <f t="shared" ref="BX11:BX23" ca="1" si="98">BX10*EXP(($C11-0.5*$H$1^2)*$A$3*_xlfn.DAYS($I11,$I10)+$H$1*SQRT($A$3*_xlfn.DAYS($I11,$I10))*_xlfn.NORM.S.INV(RAND()))</f>
        <v>358.26858232183071</v>
      </c>
      <c r="BY11" s="13">
        <f t="shared" ref="BY11:BY23" ca="1" si="99">BY10*EXP(($C11-0.5*$H$1^2)*$A$3*_xlfn.DAYS($I11,$I10)+$H$1*SQRT($A$3*_xlfn.DAYS($I11,$I10))*_xlfn.NORM.S.INV(RAND()))</f>
        <v>382.1965615727571</v>
      </c>
      <c r="BZ11" s="13">
        <f t="shared" ref="BZ11:BZ23" ca="1" si="100">BZ10*EXP(($C11-0.5*$H$1^2)*$A$3*_xlfn.DAYS($I11,$I10)+$H$1*SQRT($A$3*_xlfn.DAYS($I11,$I10))*_xlfn.NORM.S.INV(RAND()))</f>
        <v>364.21298825018323</v>
      </c>
      <c r="CA11" s="13">
        <f t="shared" ref="CA11:CA23" ca="1" si="101">CA10*EXP(($C11-0.5*$H$1^2)*$A$3*_xlfn.DAYS($I11,$I10)+$H$1*SQRT($A$3*_xlfn.DAYS($I11,$I10))*_xlfn.NORM.S.INV(RAND()))</f>
        <v>348.99949876018201</v>
      </c>
      <c r="CB11" s="13">
        <f t="shared" ref="CB11:CB23" ca="1" si="102">CB10*EXP(($C11-0.5*$H$1^2)*$A$3*_xlfn.DAYS($I11,$I10)+$H$1*SQRT($A$3*_xlfn.DAYS($I11,$I10))*_xlfn.NORM.S.INV(RAND()))</f>
        <v>357.89759478524667</v>
      </c>
      <c r="CC11" s="13">
        <f t="shared" ref="CC11:CC23" ca="1" si="103">CC10*EXP(($C11-0.5*$H$1^2)*$A$3*_xlfn.DAYS($I11,$I10)+$H$1*SQRT($A$3*_xlfn.DAYS($I11,$I10))*_xlfn.NORM.S.INV(RAND()))</f>
        <v>375.75756432331445</v>
      </c>
      <c r="CD11" s="13">
        <f t="shared" ref="CD11:CD23" ca="1" si="104">CD10*EXP(($C11-0.5*$H$1^2)*$A$3*_xlfn.DAYS($I11,$I10)+$H$1*SQRT($A$3*_xlfn.DAYS($I11,$I10))*_xlfn.NORM.S.INV(RAND()))</f>
        <v>345.99675377988046</v>
      </c>
      <c r="CE11" s="13">
        <f t="shared" ref="CE11:CE23" ca="1" si="105">CE10*EXP(($C11-0.5*$H$1^2)*$A$3*_xlfn.DAYS($I11,$I10)+$H$1*SQRT($A$3*_xlfn.DAYS($I11,$I10))*_xlfn.NORM.S.INV(RAND()))</f>
        <v>372.01945881594753</v>
      </c>
      <c r="CF11" s="13">
        <f t="shared" ref="CF11:CF23" ca="1" si="106">CF10*EXP(($C11-0.5*$H$1^2)*$A$3*_xlfn.DAYS($I11,$I10)+$H$1*SQRT($A$3*_xlfn.DAYS($I11,$I10))*_xlfn.NORM.S.INV(RAND()))</f>
        <v>356.56652580138899</v>
      </c>
      <c r="CG11" s="13">
        <f t="shared" ca="1" si="72"/>
        <v>360.19466608416622</v>
      </c>
      <c r="CH11" s="13">
        <f t="shared" ca="1" si="73"/>
        <v>370.53088654299165</v>
      </c>
      <c r="CI11" s="13">
        <f t="shared" ca="1" si="74"/>
        <v>390.97180088605</v>
      </c>
      <c r="CJ11" s="13">
        <f t="shared" ca="1" si="75"/>
        <v>355.75959438989469</v>
      </c>
      <c r="CK11" s="13">
        <f t="shared" ca="1" si="76"/>
        <v>360.48501607694902</v>
      </c>
      <c r="CL11" s="13">
        <f t="shared" ca="1" si="77"/>
        <v>348.28162811312154</v>
      </c>
      <c r="CM11" s="13">
        <f t="shared" ca="1" si="78"/>
        <v>350.83289000513355</v>
      </c>
      <c r="CN11" s="13">
        <f t="shared" ca="1" si="79"/>
        <v>364.37883685104629</v>
      </c>
      <c r="CO11" s="13">
        <f t="shared" ca="1" si="80"/>
        <v>380.06091485658476</v>
      </c>
      <c r="CP11" s="13">
        <f t="shared" ca="1" si="81"/>
        <v>357.52419040995278</v>
      </c>
      <c r="CQ11" s="13">
        <f t="shared" ca="1" si="82"/>
        <v>390.54509470113163</v>
      </c>
      <c r="CR11" s="13">
        <f t="shared" ca="1" si="83"/>
        <v>358.51541329872339</v>
      </c>
      <c r="CS11" s="13">
        <f t="shared" ca="1" si="84"/>
        <v>373.51168500149129</v>
      </c>
      <c r="CT11" s="13">
        <f t="shared" ca="1" si="85"/>
        <v>349.11113319880985</v>
      </c>
      <c r="CU11" s="13">
        <f t="shared" ca="1" si="86"/>
        <v>357.58157046149643</v>
      </c>
      <c r="CV11" s="13">
        <f t="shared" ca="1" si="87"/>
        <v>382.58820892241204</v>
      </c>
      <c r="CW11" s="13">
        <f t="shared" ca="1" si="88"/>
        <v>365.33096768246043</v>
      </c>
      <c r="CX11" s="13">
        <f t="shared" ca="1" si="89"/>
        <v>364.04950272648961</v>
      </c>
      <c r="CY11" s="13">
        <f t="shared" ca="1" si="90"/>
        <v>348.0224242531815</v>
      </c>
      <c r="CZ11" s="13">
        <f t="shared" ca="1" si="91"/>
        <v>361.33671935411087</v>
      </c>
      <c r="DA11" s="13">
        <f t="shared" ca="1" si="92"/>
        <v>378.15791336347127</v>
      </c>
      <c r="DB11" s="13">
        <f t="shared" ca="1" si="93"/>
        <v>360.37071551856724</v>
      </c>
      <c r="DC11" s="13">
        <f t="shared" ca="1" si="94"/>
        <v>358.351430388663</v>
      </c>
      <c r="DD11" s="13">
        <f t="shared" ca="1" si="95"/>
        <v>354.36380957226288</v>
      </c>
      <c r="DE11" s="13">
        <f t="shared" ca="1" si="96"/>
        <v>366.90255109998316</v>
      </c>
    </row>
    <row r="12" spans="1:109" x14ac:dyDescent="0.3">
      <c r="A12">
        <f>YEARFRAC(swap_curve!$C$1,simulation_path!I12,3)</f>
        <v>4.1095890410958902E-2</v>
      </c>
      <c r="B12" s="31">
        <f>1-(1-swap_curve!$F$3)/_xlfn.DAYS(swap_curve!$I$2,swap_curve!$C$1)*_xlfn.DAYS(I12,$I$2)</f>
        <v>0.99856159550748314</v>
      </c>
      <c r="C12">
        <f t="shared" si="7"/>
        <v>3.5026373074270013E-2</v>
      </c>
      <c r="D12" s="14">
        <v>0</v>
      </c>
      <c r="E12">
        <f t="shared" si="2"/>
        <v>365.52577391533049</v>
      </c>
      <c r="F12" s="27">
        <f t="shared" ca="1" si="3"/>
        <v>0.42141401586439997</v>
      </c>
      <c r="G12">
        <f t="shared" ca="1" si="4"/>
        <v>365.10435989946609</v>
      </c>
      <c r="H12">
        <f t="shared" ca="1" si="5"/>
        <v>12.088201446200587</v>
      </c>
      <c r="I12" s="1">
        <f>WORKDAY(I11,1,holiday!A$3:A$864)</f>
        <v>45434</v>
      </c>
      <c r="J12" s="13">
        <f t="shared" ca="1" si="6"/>
        <v>374.08563183260935</v>
      </c>
      <c r="K12" s="13">
        <f t="shared" ca="1" si="9"/>
        <v>358.40610427232741</v>
      </c>
      <c r="L12" s="13">
        <f t="shared" ca="1" si="10"/>
        <v>377.42636453441798</v>
      </c>
      <c r="M12" s="13">
        <f t="shared" ca="1" si="11"/>
        <v>369.07142042702714</v>
      </c>
      <c r="N12" s="13">
        <f t="shared" ca="1" si="12"/>
        <v>349.72629049973045</v>
      </c>
      <c r="O12" s="13">
        <f t="shared" ca="1" si="13"/>
        <v>383.43179698103603</v>
      </c>
      <c r="P12" s="13">
        <f t="shared" ca="1" si="14"/>
        <v>376.68540076718273</v>
      </c>
      <c r="Q12" s="13">
        <f t="shared" ca="1" si="15"/>
        <v>377.39576581803942</v>
      </c>
      <c r="R12" s="13">
        <f t="shared" ca="1" si="16"/>
        <v>375.9381134848345</v>
      </c>
      <c r="S12" s="13">
        <f t="shared" ca="1" si="17"/>
        <v>332.59665632975469</v>
      </c>
      <c r="T12" s="13">
        <f t="shared" ca="1" si="18"/>
        <v>368.69178313683091</v>
      </c>
      <c r="U12" s="13">
        <f t="shared" ca="1" si="19"/>
        <v>366.014184030097</v>
      </c>
      <c r="V12" s="13">
        <f t="shared" ca="1" si="20"/>
        <v>369.48557576786385</v>
      </c>
      <c r="W12" s="13">
        <f t="shared" ca="1" si="21"/>
        <v>382.03924792235659</v>
      </c>
      <c r="X12" s="13">
        <f t="shared" ca="1" si="22"/>
        <v>377.31628107457578</v>
      </c>
      <c r="Y12" s="13">
        <f t="shared" ca="1" si="23"/>
        <v>385.17142009363249</v>
      </c>
      <c r="Z12" s="13">
        <f t="shared" ca="1" si="24"/>
        <v>360.07052054841779</v>
      </c>
      <c r="AA12" s="13">
        <f t="shared" ca="1" si="25"/>
        <v>346.38100909473496</v>
      </c>
      <c r="AB12" s="13">
        <f t="shared" ca="1" si="26"/>
        <v>369.38924949070963</v>
      </c>
      <c r="AC12" s="13">
        <f t="shared" ca="1" si="27"/>
        <v>360.46521498698661</v>
      </c>
      <c r="AD12" s="13">
        <f t="shared" ca="1" si="28"/>
        <v>364.84700312135578</v>
      </c>
      <c r="AE12" s="13">
        <f t="shared" ca="1" si="29"/>
        <v>354.69679992967781</v>
      </c>
      <c r="AF12" s="13">
        <f t="shared" ca="1" si="30"/>
        <v>358.26208146040619</v>
      </c>
      <c r="AG12" s="13">
        <f t="shared" ca="1" si="31"/>
        <v>356.2703067514787</v>
      </c>
      <c r="AH12" s="13">
        <f t="shared" ca="1" si="32"/>
        <v>371.0250360094945</v>
      </c>
      <c r="AI12" s="13">
        <f t="shared" ca="1" si="33"/>
        <v>380.9798581369663</v>
      </c>
      <c r="AJ12" s="13">
        <f t="shared" ca="1" si="34"/>
        <v>364.57621063532156</v>
      </c>
      <c r="AK12" s="13">
        <f t="shared" ca="1" si="35"/>
        <v>379.36894950534383</v>
      </c>
      <c r="AL12" s="13">
        <f t="shared" ca="1" si="36"/>
        <v>344.05496347327249</v>
      </c>
      <c r="AM12" s="13">
        <f t="shared" ca="1" si="37"/>
        <v>364.25660567491587</v>
      </c>
      <c r="AN12" s="13">
        <f t="shared" ca="1" si="38"/>
        <v>367.96552891408481</v>
      </c>
      <c r="AO12" s="13">
        <f t="shared" ca="1" si="39"/>
        <v>367.93920678912792</v>
      </c>
      <c r="AP12" s="13">
        <f t="shared" ca="1" si="40"/>
        <v>343.03137140053866</v>
      </c>
      <c r="AQ12" s="13">
        <f t="shared" ca="1" si="41"/>
        <v>371.22421030347152</v>
      </c>
      <c r="AR12" s="13">
        <f t="shared" ca="1" si="42"/>
        <v>364.40912656519379</v>
      </c>
      <c r="AS12" s="13">
        <f t="shared" ca="1" si="43"/>
        <v>363.38322460997358</v>
      </c>
      <c r="AT12" s="13">
        <f t="shared" ca="1" si="44"/>
        <v>369.78188737920402</v>
      </c>
      <c r="AU12" s="13">
        <f t="shared" ca="1" si="45"/>
        <v>353.6645489656409</v>
      </c>
      <c r="AV12" s="13">
        <f t="shared" ca="1" si="46"/>
        <v>361.39823434490461</v>
      </c>
      <c r="AW12" s="13">
        <f t="shared" ca="1" si="47"/>
        <v>352.68676287617558</v>
      </c>
      <c r="AX12" s="13">
        <f t="shared" ca="1" si="48"/>
        <v>345.79804526804628</v>
      </c>
      <c r="AY12" s="13">
        <f t="shared" ca="1" si="49"/>
        <v>354.74724483298843</v>
      </c>
      <c r="AZ12" s="13">
        <f t="shared" ca="1" si="50"/>
        <v>365.32712648324394</v>
      </c>
      <c r="BA12" s="13">
        <f t="shared" ca="1" si="51"/>
        <v>374.03329231175252</v>
      </c>
      <c r="BB12" s="13">
        <f t="shared" ca="1" si="52"/>
        <v>377.50458542540201</v>
      </c>
      <c r="BC12" s="13">
        <f t="shared" ca="1" si="53"/>
        <v>382.3773770726396</v>
      </c>
      <c r="BD12" s="13">
        <f t="shared" ca="1" si="54"/>
        <v>367.63185321517057</v>
      </c>
      <c r="BE12" s="13">
        <f t="shared" ca="1" si="55"/>
        <v>369.39026613237104</v>
      </c>
      <c r="BF12" s="13">
        <f t="shared" ca="1" si="56"/>
        <v>357.24561120566716</v>
      </c>
      <c r="BG12" s="13">
        <f t="shared" ca="1" si="57"/>
        <v>383.97861265563603</v>
      </c>
      <c r="BH12" s="13">
        <f t="shared" ca="1" si="58"/>
        <v>364.78109128036658</v>
      </c>
      <c r="BI12" s="13">
        <f t="shared" ca="1" si="59"/>
        <v>360.95788038626512</v>
      </c>
      <c r="BJ12" s="13">
        <f t="shared" ca="1" si="60"/>
        <v>360.64832663461715</v>
      </c>
      <c r="BK12" s="13">
        <f t="shared" ca="1" si="61"/>
        <v>384.26546501237442</v>
      </c>
      <c r="BL12" s="13">
        <f t="shared" ca="1" si="62"/>
        <v>357.45939699946979</v>
      </c>
      <c r="BM12" s="13">
        <f t="shared" ca="1" si="63"/>
        <v>380.57234135750122</v>
      </c>
      <c r="BN12" s="13">
        <f t="shared" ca="1" si="64"/>
        <v>385.70271796618215</v>
      </c>
      <c r="BO12" s="13">
        <f t="shared" ca="1" si="65"/>
        <v>353.65586404428092</v>
      </c>
      <c r="BP12" s="13">
        <f t="shared" ca="1" si="66"/>
        <v>348.29488300851023</v>
      </c>
      <c r="BQ12" s="13">
        <f t="shared" ca="1" si="67"/>
        <v>363.56181966126064</v>
      </c>
      <c r="BR12" s="13">
        <f t="shared" ca="1" si="68"/>
        <v>348.51186247944514</v>
      </c>
      <c r="BS12" s="13">
        <f t="shared" ca="1" si="69"/>
        <v>345.70056714099826</v>
      </c>
      <c r="BT12" s="13">
        <f t="shared" ca="1" si="70"/>
        <v>373.19776841889353</v>
      </c>
      <c r="BU12" s="13">
        <f t="shared" ca="1" si="71"/>
        <v>371.09745257815376</v>
      </c>
      <c r="BV12" s="13">
        <f t="shared" ca="1" si="8"/>
        <v>341.36662406191482</v>
      </c>
      <c r="BW12" s="13">
        <f t="shared" ca="1" si="97"/>
        <v>361.98165706183607</v>
      </c>
      <c r="BX12" s="13">
        <f t="shared" ca="1" si="98"/>
        <v>356.87838424603183</v>
      </c>
      <c r="BY12" s="13">
        <f t="shared" ca="1" si="99"/>
        <v>379.59396117530298</v>
      </c>
      <c r="BZ12" s="13">
        <f t="shared" ca="1" si="100"/>
        <v>365.21347708098131</v>
      </c>
      <c r="CA12" s="13">
        <f t="shared" ca="1" si="101"/>
        <v>353.23127729664657</v>
      </c>
      <c r="CB12" s="13">
        <f t="shared" ca="1" si="102"/>
        <v>360.28421705176902</v>
      </c>
      <c r="CC12" s="13">
        <f t="shared" ca="1" si="103"/>
        <v>372.46685215444933</v>
      </c>
      <c r="CD12" s="13">
        <f t="shared" ca="1" si="104"/>
        <v>345.88443027455014</v>
      </c>
      <c r="CE12" s="13">
        <f t="shared" ca="1" si="105"/>
        <v>372.05091589944095</v>
      </c>
      <c r="CF12" s="13">
        <f t="shared" ca="1" si="106"/>
        <v>361.38982496536261</v>
      </c>
      <c r="CG12" s="13">
        <f t="shared" ca="1" si="72"/>
        <v>366.12138942175881</v>
      </c>
      <c r="CH12" s="13">
        <f t="shared" ca="1" si="73"/>
        <v>373.40095432677737</v>
      </c>
      <c r="CI12" s="13">
        <f t="shared" ca="1" si="74"/>
        <v>392.99638744334879</v>
      </c>
      <c r="CJ12" s="13">
        <f t="shared" ca="1" si="75"/>
        <v>357.63059724742203</v>
      </c>
      <c r="CK12" s="13">
        <f t="shared" ca="1" si="76"/>
        <v>358.61014922119114</v>
      </c>
      <c r="CL12" s="13">
        <f t="shared" ca="1" si="77"/>
        <v>350.37554702024232</v>
      </c>
      <c r="CM12" s="13">
        <f t="shared" ca="1" si="78"/>
        <v>350.52669834160929</v>
      </c>
      <c r="CN12" s="13">
        <f t="shared" ca="1" si="79"/>
        <v>369.44784926490553</v>
      </c>
      <c r="CO12" s="13">
        <f t="shared" ca="1" si="80"/>
        <v>377.54619795993102</v>
      </c>
      <c r="CP12" s="13">
        <f t="shared" ca="1" si="81"/>
        <v>361.69451841781949</v>
      </c>
      <c r="CQ12" s="13">
        <f t="shared" ca="1" si="82"/>
        <v>395.70345935718592</v>
      </c>
      <c r="CR12" s="13">
        <f t="shared" ca="1" si="83"/>
        <v>361.06599569844786</v>
      </c>
      <c r="CS12" s="13">
        <f t="shared" ca="1" si="84"/>
        <v>376.83771172717468</v>
      </c>
      <c r="CT12" s="13">
        <f t="shared" ca="1" si="85"/>
        <v>351.48851870237007</v>
      </c>
      <c r="CU12" s="13">
        <f t="shared" ca="1" si="86"/>
        <v>361.55028640840158</v>
      </c>
      <c r="CV12" s="13">
        <f t="shared" ca="1" si="87"/>
        <v>381.44573587040799</v>
      </c>
      <c r="CW12" s="13">
        <f t="shared" ca="1" si="88"/>
        <v>363.46783877050603</v>
      </c>
      <c r="CX12" s="13">
        <f t="shared" ca="1" si="89"/>
        <v>360.55503617083082</v>
      </c>
      <c r="CY12" s="13">
        <f t="shared" ca="1" si="90"/>
        <v>354.07097354420205</v>
      </c>
      <c r="CZ12" s="13">
        <f t="shared" ca="1" si="91"/>
        <v>364.84121445952007</v>
      </c>
      <c r="DA12" s="13">
        <f t="shared" ca="1" si="92"/>
        <v>378.36782013950801</v>
      </c>
      <c r="DB12" s="13">
        <f t="shared" ca="1" si="93"/>
        <v>358.73993272375071</v>
      </c>
      <c r="DC12" s="13">
        <f t="shared" ca="1" si="94"/>
        <v>359.37679372262613</v>
      </c>
      <c r="DD12" s="13">
        <f t="shared" ca="1" si="95"/>
        <v>357.51347627691246</v>
      </c>
      <c r="DE12" s="13">
        <f t="shared" ca="1" si="96"/>
        <v>366.66788693052746</v>
      </c>
    </row>
    <row r="13" spans="1:109" x14ac:dyDescent="0.3">
      <c r="A13">
        <f>YEARFRAC(swap_curve!$C$1,simulation_path!I13,3)</f>
        <v>4.3835616438356165E-2</v>
      </c>
      <c r="B13" s="31">
        <f>1-(1-swap_curve!$F$3)/_xlfn.DAYS(swap_curve!$I$2,swap_curve!$C$1)*_xlfn.DAYS(I13,$I$2)</f>
        <v>0.99846570187464867</v>
      </c>
      <c r="C13">
        <f t="shared" si="7"/>
        <v>3.5028054600651275E-2</v>
      </c>
      <c r="D13" s="14">
        <v>0</v>
      </c>
      <c r="E13">
        <f>$J$2*EXP((C13-D13)*A13)</f>
        <v>365.56087937192211</v>
      </c>
      <c r="F13" s="27">
        <f t="shared" ca="1" si="3"/>
        <v>1.22604992795101</v>
      </c>
      <c r="G13">
        <f t="shared" ca="1" si="4"/>
        <v>364.3348294439711</v>
      </c>
      <c r="H13">
        <f t="shared" ca="1" si="5"/>
        <v>12.491189240629462</v>
      </c>
      <c r="I13" s="1">
        <f>WORKDAY(I12,1,holiday!A$3:A$864)</f>
        <v>45435</v>
      </c>
      <c r="J13" s="13">
        <f t="shared" ca="1" si="6"/>
        <v>374.61310614978748</v>
      </c>
      <c r="K13" s="13">
        <f t="shared" ca="1" si="9"/>
        <v>357.07735620702448</v>
      </c>
      <c r="L13" s="13">
        <f t="shared" ca="1" si="10"/>
        <v>371.55193443390846</v>
      </c>
      <c r="M13" s="13">
        <f t="shared" ca="1" si="11"/>
        <v>375.0980262077066</v>
      </c>
      <c r="N13" s="13">
        <f t="shared" ca="1" si="12"/>
        <v>351.20799939657132</v>
      </c>
      <c r="O13" s="13">
        <f t="shared" ca="1" si="13"/>
        <v>380.7284146883685</v>
      </c>
      <c r="P13" s="13">
        <f t="shared" ca="1" si="14"/>
        <v>368.7888739083208</v>
      </c>
      <c r="Q13" s="13">
        <f t="shared" ca="1" si="15"/>
        <v>372.23469932497107</v>
      </c>
      <c r="R13" s="13">
        <f t="shared" ca="1" si="16"/>
        <v>379.39501561556818</v>
      </c>
      <c r="S13" s="13">
        <f t="shared" ca="1" si="17"/>
        <v>333.52443601945157</v>
      </c>
      <c r="T13" s="13">
        <f t="shared" ca="1" si="18"/>
        <v>365.30643366295124</v>
      </c>
      <c r="U13" s="13">
        <f t="shared" ca="1" si="19"/>
        <v>367.30017435360605</v>
      </c>
      <c r="V13" s="13">
        <f t="shared" ca="1" si="20"/>
        <v>370.26006778280134</v>
      </c>
      <c r="W13" s="13">
        <f t="shared" ca="1" si="21"/>
        <v>378.97683627126145</v>
      </c>
      <c r="X13" s="13">
        <f t="shared" ca="1" si="22"/>
        <v>373.24943139565596</v>
      </c>
      <c r="Y13" s="13">
        <f t="shared" ca="1" si="23"/>
        <v>382.85950793556441</v>
      </c>
      <c r="Z13" s="13">
        <f t="shared" ca="1" si="24"/>
        <v>358.61884307037894</v>
      </c>
      <c r="AA13" s="13">
        <f t="shared" ca="1" si="25"/>
        <v>343.8031799195669</v>
      </c>
      <c r="AB13" s="13">
        <f t="shared" ca="1" si="26"/>
        <v>368.49111001450132</v>
      </c>
      <c r="AC13" s="13">
        <f t="shared" ca="1" si="27"/>
        <v>361.69972744872211</v>
      </c>
      <c r="AD13" s="13">
        <f t="shared" ca="1" si="28"/>
        <v>363.69856121057313</v>
      </c>
      <c r="AE13" s="13">
        <f t="shared" ca="1" si="29"/>
        <v>352.75989874681255</v>
      </c>
      <c r="AF13" s="13">
        <f t="shared" ca="1" si="30"/>
        <v>354.73998086024312</v>
      </c>
      <c r="AG13" s="13">
        <f t="shared" ca="1" si="31"/>
        <v>358.07329482793176</v>
      </c>
      <c r="AH13" s="13">
        <f t="shared" ca="1" si="32"/>
        <v>365.19455112224671</v>
      </c>
      <c r="AI13" s="13">
        <f t="shared" ca="1" si="33"/>
        <v>381.94110657664788</v>
      </c>
      <c r="AJ13" s="13">
        <f t="shared" ca="1" si="34"/>
        <v>360.14859281076059</v>
      </c>
      <c r="AK13" s="13">
        <f t="shared" ca="1" si="35"/>
        <v>378.39003724820066</v>
      </c>
      <c r="AL13" s="13">
        <f t="shared" ca="1" si="36"/>
        <v>338.81671119604823</v>
      </c>
      <c r="AM13" s="13">
        <f t="shared" ca="1" si="37"/>
        <v>365.4995553525668</v>
      </c>
      <c r="AN13" s="13">
        <f t="shared" ca="1" si="38"/>
        <v>369.35756326859587</v>
      </c>
      <c r="AO13" s="13">
        <f t="shared" ca="1" si="39"/>
        <v>359.19689530669325</v>
      </c>
      <c r="AP13" s="13">
        <f t="shared" ca="1" si="40"/>
        <v>344.23688328874135</v>
      </c>
      <c r="AQ13" s="13">
        <f t="shared" ca="1" si="41"/>
        <v>374.09498089673019</v>
      </c>
      <c r="AR13" s="13">
        <f t="shared" ca="1" si="42"/>
        <v>364.82151404009539</v>
      </c>
      <c r="AS13" s="13">
        <f t="shared" ca="1" si="43"/>
        <v>362.57810410985627</v>
      </c>
      <c r="AT13" s="13">
        <f t="shared" ca="1" si="44"/>
        <v>368.79686248502196</v>
      </c>
      <c r="AU13" s="13">
        <f t="shared" ca="1" si="45"/>
        <v>347.56589943036562</v>
      </c>
      <c r="AV13" s="13">
        <f t="shared" ca="1" si="46"/>
        <v>363.95018542620551</v>
      </c>
      <c r="AW13" s="13">
        <f t="shared" ca="1" si="47"/>
        <v>350.14513833757547</v>
      </c>
      <c r="AX13" s="13">
        <f t="shared" ca="1" si="48"/>
        <v>342.80171838903152</v>
      </c>
      <c r="AY13" s="13">
        <f t="shared" ca="1" si="49"/>
        <v>355.01015914526607</v>
      </c>
      <c r="AZ13" s="13">
        <f t="shared" ca="1" si="50"/>
        <v>369.70095010277174</v>
      </c>
      <c r="BA13" s="13">
        <f t="shared" ca="1" si="51"/>
        <v>372.26033178114557</v>
      </c>
      <c r="BB13" s="13">
        <f t="shared" ca="1" si="52"/>
        <v>377.5896402235154</v>
      </c>
      <c r="BC13" s="13">
        <f t="shared" ca="1" si="53"/>
        <v>378.47810977867556</v>
      </c>
      <c r="BD13" s="13">
        <f t="shared" ca="1" si="54"/>
        <v>367.96457095270767</v>
      </c>
      <c r="BE13" s="13">
        <f t="shared" ca="1" si="55"/>
        <v>368.27487120278624</v>
      </c>
      <c r="BF13" s="13">
        <f t="shared" ca="1" si="56"/>
        <v>358.40640153013152</v>
      </c>
      <c r="BG13" s="13">
        <f t="shared" ca="1" si="57"/>
        <v>384.43683532500734</v>
      </c>
      <c r="BH13" s="13">
        <f t="shared" ca="1" si="58"/>
        <v>363.94731274177548</v>
      </c>
      <c r="BI13" s="13">
        <f t="shared" ca="1" si="59"/>
        <v>365.49956118439928</v>
      </c>
      <c r="BJ13" s="13">
        <f t="shared" ca="1" si="60"/>
        <v>362.15534251703968</v>
      </c>
      <c r="BK13" s="13">
        <f t="shared" ca="1" si="61"/>
        <v>389.3522943181477</v>
      </c>
      <c r="BL13" s="13">
        <f t="shared" ca="1" si="62"/>
        <v>356.74197036038277</v>
      </c>
      <c r="BM13" s="13">
        <f t="shared" ca="1" si="63"/>
        <v>374.1434530412443</v>
      </c>
      <c r="BN13" s="13">
        <f t="shared" ca="1" si="64"/>
        <v>386.07409700884671</v>
      </c>
      <c r="BO13" s="13">
        <f t="shared" ca="1" si="65"/>
        <v>353.88504237366362</v>
      </c>
      <c r="BP13" s="13">
        <f t="shared" ca="1" si="66"/>
        <v>349.57800115243788</v>
      </c>
      <c r="BQ13" s="13">
        <f t="shared" ca="1" si="67"/>
        <v>360.64643849325574</v>
      </c>
      <c r="BR13" s="13">
        <f t="shared" ca="1" si="68"/>
        <v>345.73880871119093</v>
      </c>
      <c r="BS13" s="13">
        <f t="shared" ca="1" si="69"/>
        <v>344.9306543723186</v>
      </c>
      <c r="BT13" s="13">
        <f t="shared" ca="1" si="70"/>
        <v>375.85051550838295</v>
      </c>
      <c r="BU13" s="13">
        <f t="shared" ca="1" si="71"/>
        <v>373.36026489260297</v>
      </c>
      <c r="BV13" s="13">
        <f t="shared" ca="1" si="8"/>
        <v>342.5146373197594</v>
      </c>
      <c r="BW13" s="13">
        <f t="shared" ca="1" si="97"/>
        <v>358.73159002939866</v>
      </c>
      <c r="BX13" s="13">
        <f t="shared" ca="1" si="98"/>
        <v>356.68823344197659</v>
      </c>
      <c r="BY13" s="13">
        <f t="shared" ca="1" si="99"/>
        <v>382.91565050395008</v>
      </c>
      <c r="BZ13" s="13">
        <f t="shared" ca="1" si="100"/>
        <v>364.26807247217715</v>
      </c>
      <c r="CA13" s="13">
        <f t="shared" ca="1" si="101"/>
        <v>359.50804518866704</v>
      </c>
      <c r="CB13" s="13">
        <f t="shared" ca="1" si="102"/>
        <v>352.58705878203887</v>
      </c>
      <c r="CC13" s="13">
        <f t="shared" ca="1" si="103"/>
        <v>372.59787700291213</v>
      </c>
      <c r="CD13" s="13">
        <f t="shared" ca="1" si="104"/>
        <v>344.17383427038385</v>
      </c>
      <c r="CE13" s="13">
        <f t="shared" ca="1" si="105"/>
        <v>371.51463110958201</v>
      </c>
      <c r="CF13" s="13">
        <f t="shared" ca="1" si="106"/>
        <v>360.39696531263058</v>
      </c>
      <c r="CG13" s="13">
        <f t="shared" ca="1" si="72"/>
        <v>366.51471581238962</v>
      </c>
      <c r="CH13" s="13">
        <f t="shared" ca="1" si="73"/>
        <v>372.55101084675721</v>
      </c>
      <c r="CI13" s="13">
        <f t="shared" ca="1" si="74"/>
        <v>396.83683047344562</v>
      </c>
      <c r="CJ13" s="13">
        <f t="shared" ca="1" si="75"/>
        <v>359.57187568240016</v>
      </c>
      <c r="CK13" s="13">
        <f t="shared" ca="1" si="76"/>
        <v>356.55313383656465</v>
      </c>
      <c r="CL13" s="13">
        <f t="shared" ca="1" si="77"/>
        <v>351.42684741665909</v>
      </c>
      <c r="CM13" s="13">
        <f t="shared" ca="1" si="78"/>
        <v>350.88769012486358</v>
      </c>
      <c r="CN13" s="13">
        <f t="shared" ca="1" si="79"/>
        <v>365.41128314353847</v>
      </c>
      <c r="CO13" s="13">
        <f t="shared" ca="1" si="80"/>
        <v>369.24426963420831</v>
      </c>
      <c r="CP13" s="13">
        <f t="shared" ca="1" si="81"/>
        <v>364.01170020539928</v>
      </c>
      <c r="CQ13" s="13">
        <f t="shared" ca="1" si="82"/>
        <v>397.05804538952117</v>
      </c>
      <c r="CR13" s="13">
        <f t="shared" ca="1" si="83"/>
        <v>358.69094399535726</v>
      </c>
      <c r="CS13" s="13">
        <f t="shared" ca="1" si="84"/>
        <v>381.38416224865875</v>
      </c>
      <c r="CT13" s="13">
        <f t="shared" ca="1" si="85"/>
        <v>350.82330342493611</v>
      </c>
      <c r="CU13" s="13">
        <f t="shared" ca="1" si="86"/>
        <v>357.75889245065201</v>
      </c>
      <c r="CV13" s="13">
        <f t="shared" ca="1" si="87"/>
        <v>380.45329670031111</v>
      </c>
      <c r="CW13" s="13">
        <f t="shared" ca="1" si="88"/>
        <v>358.83986790721889</v>
      </c>
      <c r="CX13" s="13">
        <f t="shared" ca="1" si="89"/>
        <v>356.69136293965192</v>
      </c>
      <c r="CY13" s="13">
        <f t="shared" ca="1" si="90"/>
        <v>350.69882416673516</v>
      </c>
      <c r="CZ13" s="13">
        <f t="shared" ca="1" si="91"/>
        <v>365.06426857844787</v>
      </c>
      <c r="DA13" s="13">
        <f t="shared" ca="1" si="92"/>
        <v>379.17811329358744</v>
      </c>
      <c r="DB13" s="13">
        <f t="shared" ca="1" si="93"/>
        <v>358.67098027585479</v>
      </c>
      <c r="DC13" s="13">
        <f t="shared" ca="1" si="94"/>
        <v>357.18764250107853</v>
      </c>
      <c r="DD13" s="13">
        <f t="shared" ca="1" si="95"/>
        <v>356.91135360469434</v>
      </c>
      <c r="DE13" s="13">
        <f t="shared" ca="1" si="96"/>
        <v>369.54709885539421</v>
      </c>
    </row>
    <row r="14" spans="1:109" x14ac:dyDescent="0.3">
      <c r="A14">
        <f>YEARFRAC(swap_curve!$C$1,simulation_path!I14,3)</f>
        <v>4.6575342465753428E-2</v>
      </c>
      <c r="B14" s="31">
        <f>1-(1-swap_curve!$F$3)/_xlfn.DAYS(swap_curve!$I$2,swap_curve!$C$1)*_xlfn.DAYS(I14,$I$2)</f>
        <v>0.99836980824181421</v>
      </c>
      <c r="C14">
        <f t="shared" si="7"/>
        <v>3.5029736342346018E-2</v>
      </c>
      <c r="D14" s="14">
        <v>0</v>
      </c>
      <c r="E14">
        <f t="shared" si="2"/>
        <v>365.59599157228695</v>
      </c>
      <c r="F14" s="27">
        <f t="shared" ca="1" si="3"/>
        <v>1.5195199310395537</v>
      </c>
      <c r="G14">
        <f t="shared" ca="1" si="4"/>
        <v>364.07647164124739</v>
      </c>
      <c r="H14">
        <f t="shared" ca="1" si="5"/>
        <v>13.115573820199979</v>
      </c>
      <c r="I14" s="1">
        <f>WORKDAY(I13,1,holiday!A$3:A$864)</f>
        <v>45436</v>
      </c>
      <c r="J14" s="13">
        <f t="shared" ca="1" si="6"/>
        <v>376.84400937442001</v>
      </c>
      <c r="K14" s="13">
        <f t="shared" ca="1" si="9"/>
        <v>353.89769180801278</v>
      </c>
      <c r="L14" s="13">
        <f t="shared" ca="1" si="10"/>
        <v>371.99896483762808</v>
      </c>
      <c r="M14" s="13">
        <f t="shared" ca="1" si="11"/>
        <v>380.22396017066751</v>
      </c>
      <c r="N14" s="13">
        <f t="shared" ca="1" si="12"/>
        <v>353.3231658098627</v>
      </c>
      <c r="O14" s="13">
        <f t="shared" ca="1" si="13"/>
        <v>384.54989829149929</v>
      </c>
      <c r="P14" s="13">
        <f t="shared" ca="1" si="14"/>
        <v>374.92381624123658</v>
      </c>
      <c r="Q14" s="13">
        <f t="shared" ca="1" si="15"/>
        <v>371.60407084865096</v>
      </c>
      <c r="R14" s="13">
        <f t="shared" ca="1" si="16"/>
        <v>378.1571325156433</v>
      </c>
      <c r="S14" s="13">
        <f t="shared" ca="1" si="17"/>
        <v>333.37015341462319</v>
      </c>
      <c r="T14" s="13">
        <f t="shared" ca="1" si="18"/>
        <v>367.69424329973651</v>
      </c>
      <c r="U14" s="13">
        <f t="shared" ca="1" si="19"/>
        <v>364.5046240062012</v>
      </c>
      <c r="V14" s="13">
        <f t="shared" ca="1" si="20"/>
        <v>362.47412176353538</v>
      </c>
      <c r="W14" s="13">
        <f t="shared" ca="1" si="21"/>
        <v>380.23582767464046</v>
      </c>
      <c r="X14" s="13">
        <f t="shared" ca="1" si="22"/>
        <v>372.84046040122462</v>
      </c>
      <c r="Y14" s="13">
        <f t="shared" ca="1" si="23"/>
        <v>377.93929236920746</v>
      </c>
      <c r="Z14" s="13">
        <f t="shared" ca="1" si="24"/>
        <v>360.22922978829979</v>
      </c>
      <c r="AA14" s="13">
        <f t="shared" ca="1" si="25"/>
        <v>346.39784905600777</v>
      </c>
      <c r="AB14" s="13">
        <f t="shared" ca="1" si="26"/>
        <v>361.58676877445282</v>
      </c>
      <c r="AC14" s="13">
        <f t="shared" ca="1" si="27"/>
        <v>354.80922512338253</v>
      </c>
      <c r="AD14" s="13">
        <f t="shared" ca="1" si="28"/>
        <v>363.52930065664788</v>
      </c>
      <c r="AE14" s="13">
        <f t="shared" ca="1" si="29"/>
        <v>356.02226930135009</v>
      </c>
      <c r="AF14" s="13">
        <f t="shared" ca="1" si="30"/>
        <v>352.66092209569518</v>
      </c>
      <c r="AG14" s="13">
        <f t="shared" ca="1" si="31"/>
        <v>348.00468925431176</v>
      </c>
      <c r="AH14" s="13">
        <f t="shared" ca="1" si="32"/>
        <v>360.83585008893016</v>
      </c>
      <c r="AI14" s="13">
        <f t="shared" ca="1" si="33"/>
        <v>383.01987224445253</v>
      </c>
      <c r="AJ14" s="13">
        <f t="shared" ca="1" si="34"/>
        <v>358.99247029532739</v>
      </c>
      <c r="AK14" s="13">
        <f t="shared" ca="1" si="35"/>
        <v>382.90965360731229</v>
      </c>
      <c r="AL14" s="13">
        <f t="shared" ca="1" si="36"/>
        <v>336.36771652183347</v>
      </c>
      <c r="AM14" s="13">
        <f t="shared" ca="1" si="37"/>
        <v>368.66462794257927</v>
      </c>
      <c r="AN14" s="13">
        <f t="shared" ca="1" si="38"/>
        <v>373.22920318114137</v>
      </c>
      <c r="AO14" s="13">
        <f t="shared" ca="1" si="39"/>
        <v>361.22931306996924</v>
      </c>
      <c r="AP14" s="13">
        <f t="shared" ca="1" si="40"/>
        <v>343.28696251297805</v>
      </c>
      <c r="AQ14" s="13">
        <f t="shared" ca="1" si="41"/>
        <v>370.48093294806313</v>
      </c>
      <c r="AR14" s="13">
        <f t="shared" ca="1" si="42"/>
        <v>364.02414240898349</v>
      </c>
      <c r="AS14" s="13">
        <f t="shared" ca="1" si="43"/>
        <v>363.30788030717866</v>
      </c>
      <c r="AT14" s="13">
        <f t="shared" ca="1" si="44"/>
        <v>362.30803405795939</v>
      </c>
      <c r="AU14" s="13">
        <f t="shared" ca="1" si="45"/>
        <v>346.23897717802646</v>
      </c>
      <c r="AV14" s="13">
        <f t="shared" ca="1" si="46"/>
        <v>368.51546670743704</v>
      </c>
      <c r="AW14" s="13">
        <f t="shared" ca="1" si="47"/>
        <v>355.67059725379772</v>
      </c>
      <c r="AX14" s="13">
        <f t="shared" ca="1" si="48"/>
        <v>342.69986321268971</v>
      </c>
      <c r="AY14" s="13">
        <f t="shared" ca="1" si="49"/>
        <v>358.4780540505713</v>
      </c>
      <c r="AZ14" s="13">
        <f t="shared" ca="1" si="50"/>
        <v>367.94283876167611</v>
      </c>
      <c r="BA14" s="13">
        <f t="shared" ca="1" si="51"/>
        <v>372.43963394703491</v>
      </c>
      <c r="BB14" s="13">
        <f t="shared" ca="1" si="52"/>
        <v>371.73958650913039</v>
      </c>
      <c r="BC14" s="13">
        <f t="shared" ca="1" si="53"/>
        <v>373.32548403742794</v>
      </c>
      <c r="BD14" s="13">
        <f t="shared" ca="1" si="54"/>
        <v>371.75665957003241</v>
      </c>
      <c r="BE14" s="13">
        <f t="shared" ca="1" si="55"/>
        <v>369.83896001380975</v>
      </c>
      <c r="BF14" s="13">
        <f t="shared" ca="1" si="56"/>
        <v>360.07699944405243</v>
      </c>
      <c r="BG14" s="13">
        <f t="shared" ca="1" si="57"/>
        <v>383.60904365833818</v>
      </c>
      <c r="BH14" s="13">
        <f t="shared" ca="1" si="58"/>
        <v>362.70227891592594</v>
      </c>
      <c r="BI14" s="13">
        <f t="shared" ca="1" si="59"/>
        <v>362.25815303514224</v>
      </c>
      <c r="BJ14" s="13">
        <f t="shared" ca="1" si="60"/>
        <v>359.46072789161974</v>
      </c>
      <c r="BK14" s="13">
        <f t="shared" ca="1" si="61"/>
        <v>388.3179843115081</v>
      </c>
      <c r="BL14" s="13">
        <f t="shared" ca="1" si="62"/>
        <v>355.37207644113391</v>
      </c>
      <c r="BM14" s="13">
        <f t="shared" ca="1" si="63"/>
        <v>373.89250973562304</v>
      </c>
      <c r="BN14" s="13">
        <f t="shared" ca="1" si="64"/>
        <v>388.98001193890576</v>
      </c>
      <c r="BO14" s="13">
        <f t="shared" ca="1" si="65"/>
        <v>347.31766031411502</v>
      </c>
      <c r="BP14" s="13">
        <f t="shared" ca="1" si="66"/>
        <v>351.46565384209759</v>
      </c>
      <c r="BQ14" s="13">
        <f t="shared" ca="1" si="67"/>
        <v>361.64855786033155</v>
      </c>
      <c r="BR14" s="13">
        <f t="shared" ca="1" si="68"/>
        <v>349.77024887696132</v>
      </c>
      <c r="BS14" s="13">
        <f t="shared" ca="1" si="69"/>
        <v>344.43849536613322</v>
      </c>
      <c r="BT14" s="13">
        <f t="shared" ca="1" si="70"/>
        <v>381.23822870105272</v>
      </c>
      <c r="BU14" s="13">
        <f t="shared" ca="1" si="71"/>
        <v>372.13068697546026</v>
      </c>
      <c r="BV14" s="13">
        <f t="shared" ca="1" si="8"/>
        <v>338.54519400043705</v>
      </c>
      <c r="BW14" s="13">
        <f t="shared" ca="1" si="97"/>
        <v>357.11792077595601</v>
      </c>
      <c r="BX14" s="13">
        <f t="shared" ca="1" si="98"/>
        <v>352.87749608236101</v>
      </c>
      <c r="BY14" s="13">
        <f t="shared" ca="1" si="99"/>
        <v>385.86842482952318</v>
      </c>
      <c r="BZ14" s="13">
        <f t="shared" ca="1" si="100"/>
        <v>361.55811530132956</v>
      </c>
      <c r="CA14" s="13">
        <f t="shared" ca="1" si="101"/>
        <v>365.34982526817669</v>
      </c>
      <c r="CB14" s="13">
        <f t="shared" ca="1" si="102"/>
        <v>353.75511984882024</v>
      </c>
      <c r="CC14" s="13">
        <f t="shared" ca="1" si="103"/>
        <v>374.88357624814483</v>
      </c>
      <c r="CD14" s="13">
        <f t="shared" ca="1" si="104"/>
        <v>344.28011855045969</v>
      </c>
      <c r="CE14" s="13">
        <f t="shared" ca="1" si="105"/>
        <v>376.59642986065256</v>
      </c>
      <c r="CF14" s="13">
        <f t="shared" ca="1" si="106"/>
        <v>354.40732299195639</v>
      </c>
      <c r="CG14" s="13">
        <f t="shared" ca="1" si="72"/>
        <v>366.63806767210866</v>
      </c>
      <c r="CH14" s="13">
        <f t="shared" ca="1" si="73"/>
        <v>376.04963616952966</v>
      </c>
      <c r="CI14" s="13">
        <f t="shared" ca="1" si="74"/>
        <v>398.69477634759204</v>
      </c>
      <c r="CJ14" s="13">
        <f t="shared" ca="1" si="75"/>
        <v>357.81220687191001</v>
      </c>
      <c r="CK14" s="13">
        <f t="shared" ca="1" si="76"/>
        <v>356.3070185325837</v>
      </c>
      <c r="CL14" s="13">
        <f t="shared" ca="1" si="77"/>
        <v>352.45280661114595</v>
      </c>
      <c r="CM14" s="13">
        <f t="shared" ca="1" si="78"/>
        <v>352.37564327761413</v>
      </c>
      <c r="CN14" s="13">
        <f t="shared" ca="1" si="79"/>
        <v>363.12665363693486</v>
      </c>
      <c r="CO14" s="13">
        <f t="shared" ca="1" si="80"/>
        <v>372.59990674898364</v>
      </c>
      <c r="CP14" s="13">
        <f t="shared" ca="1" si="81"/>
        <v>363.16924006899956</v>
      </c>
      <c r="CQ14" s="13">
        <f t="shared" ca="1" si="82"/>
        <v>391.40649872554138</v>
      </c>
      <c r="CR14" s="13">
        <f t="shared" ca="1" si="83"/>
        <v>357.47623753152857</v>
      </c>
      <c r="CS14" s="13">
        <f t="shared" ca="1" si="84"/>
        <v>387.32351089057443</v>
      </c>
      <c r="CT14" s="13">
        <f t="shared" ca="1" si="85"/>
        <v>352.12699852041686</v>
      </c>
      <c r="CU14" s="13">
        <f t="shared" ca="1" si="86"/>
        <v>359.22168553277288</v>
      </c>
      <c r="CV14" s="13">
        <f t="shared" ca="1" si="87"/>
        <v>380.29716040144717</v>
      </c>
      <c r="CW14" s="13">
        <f t="shared" ca="1" si="88"/>
        <v>358.06639582433633</v>
      </c>
      <c r="CX14" s="13">
        <f t="shared" ca="1" si="89"/>
        <v>354.7464801437655</v>
      </c>
      <c r="CY14" s="13">
        <f t="shared" ca="1" si="90"/>
        <v>348.23348291990084</v>
      </c>
      <c r="CZ14" s="13">
        <f t="shared" ca="1" si="91"/>
        <v>363.19907228197894</v>
      </c>
      <c r="DA14" s="13">
        <f t="shared" ca="1" si="92"/>
        <v>376.18896301197123</v>
      </c>
      <c r="DB14" s="13">
        <f t="shared" ca="1" si="93"/>
        <v>351.81201978028844</v>
      </c>
      <c r="DC14" s="13">
        <f t="shared" ca="1" si="94"/>
        <v>360.21564784324613</v>
      </c>
      <c r="DD14" s="13">
        <f t="shared" ca="1" si="95"/>
        <v>351.93503590737981</v>
      </c>
      <c r="DE14" s="13">
        <f t="shared" ca="1" si="96"/>
        <v>373.1286905006956</v>
      </c>
    </row>
    <row r="15" spans="1:109" x14ac:dyDescent="0.3">
      <c r="A15">
        <f>YEARFRAC(swap_curve!$C$1,simulation_path!I15,3)</f>
        <v>5.4794520547945202E-2</v>
      </c>
      <c r="B15" s="31">
        <f>1-(1-swap_curve!$F$3)/_xlfn.DAYS(swap_curve!$I$2,swap_curve!$C$1)*_xlfn.DAYS(I15,$I$2)</f>
        <v>0.99808212734331092</v>
      </c>
      <c r="C15">
        <f t="shared" si="7"/>
        <v>3.5034782859774578E-2</v>
      </c>
      <c r="D15" s="14">
        <v>0</v>
      </c>
      <c r="E15">
        <f t="shared" si="2"/>
        <v>365.70136865545805</v>
      </c>
      <c r="F15" s="27">
        <f t="shared" ca="1" si="3"/>
        <v>1.2808494403232658</v>
      </c>
      <c r="G15">
        <f t="shared" ca="1" si="4"/>
        <v>364.42051921513479</v>
      </c>
      <c r="H15">
        <f t="shared" ca="1" si="5"/>
        <v>14.51561845065482</v>
      </c>
      <c r="I15" s="1">
        <f>WORKDAY(I14,1,holiday!A$3:A$864)</f>
        <v>45439</v>
      </c>
      <c r="J15" s="13">
        <f t="shared" ca="1" si="6"/>
        <v>377.76749668693452</v>
      </c>
      <c r="K15" s="13">
        <f t="shared" ca="1" si="9"/>
        <v>356.14725749992255</v>
      </c>
      <c r="L15" s="13">
        <f t="shared" ca="1" si="10"/>
        <v>374.50036249725605</v>
      </c>
      <c r="M15" s="13">
        <f t="shared" ca="1" si="11"/>
        <v>387.05215841559135</v>
      </c>
      <c r="N15" s="13">
        <f t="shared" ca="1" si="12"/>
        <v>352.05483814558659</v>
      </c>
      <c r="O15" s="13">
        <f t="shared" ca="1" si="13"/>
        <v>387.29958267175311</v>
      </c>
      <c r="P15" s="13">
        <f t="shared" ca="1" si="14"/>
        <v>370.81157930976457</v>
      </c>
      <c r="Q15" s="13">
        <f t="shared" ca="1" si="15"/>
        <v>367.84509078789245</v>
      </c>
      <c r="R15" s="13">
        <f t="shared" ca="1" si="16"/>
        <v>380.67895689369516</v>
      </c>
      <c r="S15" s="13">
        <f t="shared" ca="1" si="17"/>
        <v>337.98314179081473</v>
      </c>
      <c r="T15" s="13">
        <f t="shared" ca="1" si="18"/>
        <v>368.99464459520226</v>
      </c>
      <c r="U15" s="13">
        <f t="shared" ca="1" si="19"/>
        <v>356.62036932438269</v>
      </c>
      <c r="V15" s="13">
        <f t="shared" ca="1" si="20"/>
        <v>362.38153733357996</v>
      </c>
      <c r="W15" s="13">
        <f t="shared" ca="1" si="21"/>
        <v>380.52818149959006</v>
      </c>
      <c r="X15" s="13">
        <f t="shared" ca="1" si="22"/>
        <v>371.21557766563745</v>
      </c>
      <c r="Y15" s="13">
        <f t="shared" ca="1" si="23"/>
        <v>379.56398537098363</v>
      </c>
      <c r="Z15" s="13">
        <f t="shared" ca="1" si="24"/>
        <v>354.78438504945143</v>
      </c>
      <c r="AA15" s="13">
        <f t="shared" ca="1" si="25"/>
        <v>343.35844433070469</v>
      </c>
      <c r="AB15" s="13">
        <f t="shared" ca="1" si="26"/>
        <v>359.48216951279397</v>
      </c>
      <c r="AC15" s="13">
        <f t="shared" ca="1" si="27"/>
        <v>349.42922948379834</v>
      </c>
      <c r="AD15" s="13">
        <f t="shared" ca="1" si="28"/>
        <v>362.20741065875166</v>
      </c>
      <c r="AE15" s="13">
        <f t="shared" ca="1" si="29"/>
        <v>354.97015275411394</v>
      </c>
      <c r="AF15" s="13">
        <f t="shared" ca="1" si="30"/>
        <v>358.35102526199552</v>
      </c>
      <c r="AG15" s="13">
        <f t="shared" ca="1" si="31"/>
        <v>344.1732819566061</v>
      </c>
      <c r="AH15" s="13">
        <f t="shared" ca="1" si="32"/>
        <v>360.07137172964934</v>
      </c>
      <c r="AI15" s="13">
        <f t="shared" ca="1" si="33"/>
        <v>389.6780890316565</v>
      </c>
      <c r="AJ15" s="13">
        <f t="shared" ca="1" si="34"/>
        <v>359.48923665212965</v>
      </c>
      <c r="AK15" s="13">
        <f t="shared" ca="1" si="35"/>
        <v>388.37622767603426</v>
      </c>
      <c r="AL15" s="13">
        <f t="shared" ca="1" si="36"/>
        <v>335.07335501153216</v>
      </c>
      <c r="AM15" s="13">
        <f t="shared" ca="1" si="37"/>
        <v>370.22139298697226</v>
      </c>
      <c r="AN15" s="13">
        <f t="shared" ca="1" si="38"/>
        <v>390.33973621930062</v>
      </c>
      <c r="AO15" s="13">
        <f t="shared" ca="1" si="39"/>
        <v>365.94228733034726</v>
      </c>
      <c r="AP15" s="13">
        <f t="shared" ca="1" si="40"/>
        <v>344.95238053195311</v>
      </c>
      <c r="AQ15" s="13">
        <f t="shared" ca="1" si="41"/>
        <v>372.61381172624857</v>
      </c>
      <c r="AR15" s="13">
        <f t="shared" ca="1" si="42"/>
        <v>367.49019716893463</v>
      </c>
      <c r="AS15" s="13">
        <f t="shared" ca="1" si="43"/>
        <v>368.13331458336717</v>
      </c>
      <c r="AT15" s="13">
        <f t="shared" ca="1" si="44"/>
        <v>366.8829556159676</v>
      </c>
      <c r="AU15" s="13">
        <f t="shared" ca="1" si="45"/>
        <v>352.95165037445906</v>
      </c>
      <c r="AV15" s="13">
        <f t="shared" ca="1" si="46"/>
        <v>366.40182413187279</v>
      </c>
      <c r="AW15" s="13">
        <f t="shared" ca="1" si="47"/>
        <v>356.3789086190539</v>
      </c>
      <c r="AX15" s="13">
        <f t="shared" ca="1" si="48"/>
        <v>352.58787829334079</v>
      </c>
      <c r="AY15" s="13">
        <f t="shared" ca="1" si="49"/>
        <v>353.36685451591876</v>
      </c>
      <c r="AZ15" s="13">
        <f t="shared" ca="1" si="50"/>
        <v>368.46347456377049</v>
      </c>
      <c r="BA15" s="13">
        <f t="shared" ca="1" si="51"/>
        <v>379.59394865237249</v>
      </c>
      <c r="BB15" s="13">
        <f t="shared" ca="1" si="52"/>
        <v>370.40781968226338</v>
      </c>
      <c r="BC15" s="13">
        <f t="shared" ca="1" si="53"/>
        <v>367.80725797815313</v>
      </c>
      <c r="BD15" s="13">
        <f t="shared" ca="1" si="54"/>
        <v>360.48403515272196</v>
      </c>
      <c r="BE15" s="13">
        <f t="shared" ca="1" si="55"/>
        <v>364.51501744635158</v>
      </c>
      <c r="BF15" s="13">
        <f t="shared" ca="1" si="56"/>
        <v>359.74259627756732</v>
      </c>
      <c r="BG15" s="13">
        <f t="shared" ca="1" si="57"/>
        <v>395.15896746130676</v>
      </c>
      <c r="BH15" s="13">
        <f t="shared" ca="1" si="58"/>
        <v>359.77443422067785</v>
      </c>
      <c r="BI15" s="13">
        <f t="shared" ca="1" si="59"/>
        <v>359.33907002024267</v>
      </c>
      <c r="BJ15" s="13">
        <f t="shared" ca="1" si="60"/>
        <v>359.99097889140575</v>
      </c>
      <c r="BK15" s="13">
        <f t="shared" ca="1" si="61"/>
        <v>387.72399118519428</v>
      </c>
      <c r="BL15" s="13">
        <f t="shared" ca="1" si="62"/>
        <v>348.28386191640408</v>
      </c>
      <c r="BM15" s="13">
        <f t="shared" ca="1" si="63"/>
        <v>373.06461938290255</v>
      </c>
      <c r="BN15" s="13">
        <f t="shared" ca="1" si="64"/>
        <v>385.7711349940426</v>
      </c>
      <c r="BO15" s="13">
        <f t="shared" ca="1" si="65"/>
        <v>352.69855958602238</v>
      </c>
      <c r="BP15" s="13">
        <f t="shared" ca="1" si="66"/>
        <v>355.50584823482092</v>
      </c>
      <c r="BQ15" s="13">
        <f t="shared" ca="1" si="67"/>
        <v>352.93386171449561</v>
      </c>
      <c r="BR15" s="13">
        <f t="shared" ca="1" si="68"/>
        <v>351.20720385825575</v>
      </c>
      <c r="BS15" s="13">
        <f t="shared" ca="1" si="69"/>
        <v>342.35406430320455</v>
      </c>
      <c r="BT15" s="13">
        <f t="shared" ca="1" si="70"/>
        <v>386.52586190346506</v>
      </c>
      <c r="BU15" s="13">
        <f t="shared" ca="1" si="71"/>
        <v>379.25263706490796</v>
      </c>
      <c r="BV15" s="13">
        <f t="shared" ca="1" si="8"/>
        <v>335.44592549746153</v>
      </c>
      <c r="BW15" s="13">
        <f t="shared" ca="1" si="97"/>
        <v>354.43678293856777</v>
      </c>
      <c r="BX15" s="13">
        <f t="shared" ca="1" si="98"/>
        <v>355.98394936044974</v>
      </c>
      <c r="BY15" s="13">
        <f t="shared" ca="1" si="99"/>
        <v>387.24691245475981</v>
      </c>
      <c r="BZ15" s="13">
        <f t="shared" ca="1" si="100"/>
        <v>374.13626428297243</v>
      </c>
      <c r="CA15" s="13">
        <f t="shared" ca="1" si="101"/>
        <v>377.30830713209059</v>
      </c>
      <c r="CB15" s="13">
        <f t="shared" ca="1" si="102"/>
        <v>349.621975492037</v>
      </c>
      <c r="CC15" s="13">
        <f t="shared" ca="1" si="103"/>
        <v>373.91606717934496</v>
      </c>
      <c r="CD15" s="13">
        <f t="shared" ca="1" si="104"/>
        <v>351.28983054862744</v>
      </c>
      <c r="CE15" s="13">
        <f t="shared" ca="1" si="105"/>
        <v>376.97401667131953</v>
      </c>
      <c r="CF15" s="13">
        <f t="shared" ca="1" si="106"/>
        <v>359.38678539192017</v>
      </c>
      <c r="CG15" s="13">
        <f t="shared" ca="1" si="72"/>
        <v>366.50485450855865</v>
      </c>
      <c r="CH15" s="13">
        <f t="shared" ca="1" si="73"/>
        <v>374.48276408827945</v>
      </c>
      <c r="CI15" s="13">
        <f t="shared" ca="1" si="74"/>
        <v>396.78190347305684</v>
      </c>
      <c r="CJ15" s="13">
        <f t="shared" ca="1" si="75"/>
        <v>351.98250276198235</v>
      </c>
      <c r="CK15" s="13">
        <f t="shared" ca="1" si="76"/>
        <v>361.05544384269177</v>
      </c>
      <c r="CL15" s="13">
        <f t="shared" ca="1" si="77"/>
        <v>349.37302139796196</v>
      </c>
      <c r="CM15" s="13">
        <f t="shared" ca="1" si="78"/>
        <v>359.13573947215679</v>
      </c>
      <c r="CN15" s="13">
        <f t="shared" ca="1" si="79"/>
        <v>362.66559461182749</v>
      </c>
      <c r="CO15" s="13">
        <f t="shared" ca="1" si="80"/>
        <v>379.68079678783135</v>
      </c>
      <c r="CP15" s="13">
        <f t="shared" ca="1" si="81"/>
        <v>352.97021929555427</v>
      </c>
      <c r="CQ15" s="13">
        <f t="shared" ca="1" si="82"/>
        <v>382.16744573788492</v>
      </c>
      <c r="CR15" s="13">
        <f t="shared" ca="1" si="83"/>
        <v>360.03136046269714</v>
      </c>
      <c r="CS15" s="13">
        <f t="shared" ca="1" si="84"/>
        <v>392.31384359085621</v>
      </c>
      <c r="CT15" s="13">
        <f t="shared" ca="1" si="85"/>
        <v>356.09292049228088</v>
      </c>
      <c r="CU15" s="13">
        <f t="shared" ca="1" si="86"/>
        <v>359.29909612947051</v>
      </c>
      <c r="CV15" s="13">
        <f t="shared" ca="1" si="87"/>
        <v>382.92683501370215</v>
      </c>
      <c r="CW15" s="13">
        <f t="shared" ca="1" si="88"/>
        <v>356.49213765507983</v>
      </c>
      <c r="CX15" s="13">
        <f t="shared" ca="1" si="89"/>
        <v>353.53186015430151</v>
      </c>
      <c r="CY15" s="13">
        <f t="shared" ca="1" si="90"/>
        <v>335.70455106739149</v>
      </c>
      <c r="CZ15" s="13">
        <f t="shared" ca="1" si="91"/>
        <v>348.83391797558721</v>
      </c>
      <c r="DA15" s="13">
        <f t="shared" ca="1" si="92"/>
        <v>378.84374283662186</v>
      </c>
      <c r="DB15" s="13">
        <f t="shared" ca="1" si="93"/>
        <v>348.22404964705942</v>
      </c>
      <c r="DC15" s="13">
        <f t="shared" ca="1" si="94"/>
        <v>350.87069798734387</v>
      </c>
      <c r="DD15" s="13">
        <f t="shared" ca="1" si="95"/>
        <v>350.08251968066139</v>
      </c>
      <c r="DE15" s="13">
        <f t="shared" ca="1" si="96"/>
        <v>376.50570970700068</v>
      </c>
    </row>
    <row r="16" spans="1:109" x14ac:dyDescent="0.3">
      <c r="A16">
        <f>YEARFRAC(swap_curve!$C$1,simulation_path!I16,3)</f>
        <v>5.7534246575342465E-2</v>
      </c>
      <c r="B16" s="31">
        <f>1-(1-swap_curve!$F$3)/_xlfn.DAYS(swap_curve!$I$2,swap_curve!$C$1)*_xlfn.DAYS(I16,$I$2)</f>
        <v>0.99798623371047646</v>
      </c>
      <c r="C16">
        <f t="shared" si="7"/>
        <v>3.5036465463188851E-2</v>
      </c>
      <c r="D16" s="14">
        <v>0</v>
      </c>
      <c r="E16">
        <f t="shared" si="2"/>
        <v>365.7365078503571</v>
      </c>
      <c r="F16" s="27">
        <f t="shared" ca="1" si="3"/>
        <v>1.2175448589586608</v>
      </c>
      <c r="G16">
        <f t="shared" ca="1" si="4"/>
        <v>364.51896299139844</v>
      </c>
      <c r="H16">
        <f t="shared" ca="1" si="5"/>
        <v>14.571324619161231</v>
      </c>
      <c r="I16" s="1">
        <f>WORKDAY(I15,1,holiday!A$3:A$864)</f>
        <v>45440</v>
      </c>
      <c r="J16" s="13">
        <f t="shared" ca="1" si="6"/>
        <v>379.68046655633424</v>
      </c>
      <c r="K16" s="13">
        <f t="shared" ca="1" si="9"/>
        <v>354.71061412835792</v>
      </c>
      <c r="L16" s="13">
        <f t="shared" ca="1" si="10"/>
        <v>379.0569681677664</v>
      </c>
      <c r="M16" s="13">
        <f t="shared" ca="1" si="11"/>
        <v>377.35662359615594</v>
      </c>
      <c r="N16" s="13">
        <f t="shared" ca="1" si="12"/>
        <v>355.20964681740895</v>
      </c>
      <c r="O16" s="13">
        <f t="shared" ca="1" si="13"/>
        <v>391.46589437819438</v>
      </c>
      <c r="P16" s="13">
        <f t="shared" ca="1" si="14"/>
        <v>374.82651667962995</v>
      </c>
      <c r="Q16" s="13">
        <f t="shared" ca="1" si="15"/>
        <v>368.27390993563813</v>
      </c>
      <c r="R16" s="13">
        <f t="shared" ca="1" si="16"/>
        <v>383.47971374141059</v>
      </c>
      <c r="S16" s="13">
        <f t="shared" ca="1" si="17"/>
        <v>339.42291711803455</v>
      </c>
      <c r="T16" s="13">
        <f t="shared" ca="1" si="18"/>
        <v>369.73487443608383</v>
      </c>
      <c r="U16" s="13">
        <f t="shared" ca="1" si="19"/>
        <v>349.5995756669742</v>
      </c>
      <c r="V16" s="13">
        <f t="shared" ca="1" si="20"/>
        <v>364.04613914389466</v>
      </c>
      <c r="W16" s="13">
        <f t="shared" ca="1" si="21"/>
        <v>379.46191408373073</v>
      </c>
      <c r="X16" s="13">
        <f t="shared" ca="1" si="22"/>
        <v>369.29559127000596</v>
      </c>
      <c r="Y16" s="13">
        <f t="shared" ca="1" si="23"/>
        <v>375.49873971401706</v>
      </c>
      <c r="Z16" s="13">
        <f t="shared" ca="1" si="24"/>
        <v>353.02312389878085</v>
      </c>
      <c r="AA16" s="13">
        <f t="shared" ca="1" si="25"/>
        <v>344.72631998967478</v>
      </c>
      <c r="AB16" s="13">
        <f t="shared" ca="1" si="26"/>
        <v>358.68107643400458</v>
      </c>
      <c r="AC16" s="13">
        <f t="shared" ca="1" si="27"/>
        <v>356.5098072354009</v>
      </c>
      <c r="AD16" s="13">
        <f t="shared" ca="1" si="28"/>
        <v>366.57011258764038</v>
      </c>
      <c r="AE16" s="13">
        <f t="shared" ca="1" si="29"/>
        <v>354.50214175864954</v>
      </c>
      <c r="AF16" s="13">
        <f t="shared" ca="1" si="30"/>
        <v>359.6055819755162</v>
      </c>
      <c r="AG16" s="13">
        <f t="shared" ca="1" si="31"/>
        <v>348.12151107423682</v>
      </c>
      <c r="AH16" s="13">
        <f t="shared" ca="1" si="32"/>
        <v>361.56746668365355</v>
      </c>
      <c r="AI16" s="13">
        <f t="shared" ca="1" si="33"/>
        <v>380.17649151422586</v>
      </c>
      <c r="AJ16" s="13">
        <f t="shared" ca="1" si="34"/>
        <v>358.44108290966886</v>
      </c>
      <c r="AK16" s="13">
        <f t="shared" ca="1" si="35"/>
        <v>385.20157178842288</v>
      </c>
      <c r="AL16" s="13">
        <f t="shared" ca="1" si="36"/>
        <v>339.05436798751293</v>
      </c>
      <c r="AM16" s="13">
        <f t="shared" ca="1" si="37"/>
        <v>369.72322846681237</v>
      </c>
      <c r="AN16" s="13">
        <f t="shared" ca="1" si="38"/>
        <v>392.22826072710421</v>
      </c>
      <c r="AO16" s="13">
        <f t="shared" ca="1" si="39"/>
        <v>363.34101134141105</v>
      </c>
      <c r="AP16" s="13">
        <f t="shared" ca="1" si="40"/>
        <v>345.25447547253049</v>
      </c>
      <c r="AQ16" s="13">
        <f t="shared" ca="1" si="41"/>
        <v>375.60337333200226</v>
      </c>
      <c r="AR16" s="13">
        <f t="shared" ca="1" si="42"/>
        <v>366.27182224922115</v>
      </c>
      <c r="AS16" s="13">
        <f t="shared" ca="1" si="43"/>
        <v>369.44490746030039</v>
      </c>
      <c r="AT16" s="13">
        <f t="shared" ca="1" si="44"/>
        <v>362.68449295272347</v>
      </c>
      <c r="AU16" s="13">
        <f t="shared" ca="1" si="45"/>
        <v>352.71536829660749</v>
      </c>
      <c r="AV16" s="13">
        <f t="shared" ca="1" si="46"/>
        <v>367.06812249290192</v>
      </c>
      <c r="AW16" s="13">
        <f t="shared" ca="1" si="47"/>
        <v>357.02765837463267</v>
      </c>
      <c r="AX16" s="13">
        <f t="shared" ca="1" si="48"/>
        <v>349.58813924332293</v>
      </c>
      <c r="AY16" s="13">
        <f t="shared" ca="1" si="49"/>
        <v>357.05530478358202</v>
      </c>
      <c r="AZ16" s="13">
        <f t="shared" ca="1" si="50"/>
        <v>368.77257216744715</v>
      </c>
      <c r="BA16" s="13">
        <f t="shared" ca="1" si="51"/>
        <v>376.2093786858519</v>
      </c>
      <c r="BB16" s="13">
        <f t="shared" ca="1" si="52"/>
        <v>368.94361828268597</v>
      </c>
      <c r="BC16" s="13">
        <f t="shared" ca="1" si="53"/>
        <v>369.65787842505051</v>
      </c>
      <c r="BD16" s="13">
        <f t="shared" ca="1" si="54"/>
        <v>357.12963315312965</v>
      </c>
      <c r="BE16" s="13">
        <f t="shared" ca="1" si="55"/>
        <v>360.73974162141229</v>
      </c>
      <c r="BF16" s="13">
        <f t="shared" ca="1" si="56"/>
        <v>359.59016516797328</v>
      </c>
      <c r="BG16" s="13">
        <f t="shared" ca="1" si="57"/>
        <v>396.38027729070001</v>
      </c>
      <c r="BH16" s="13">
        <f t="shared" ca="1" si="58"/>
        <v>355.01916821656749</v>
      </c>
      <c r="BI16" s="13">
        <f t="shared" ca="1" si="59"/>
        <v>361.97866781884335</v>
      </c>
      <c r="BJ16" s="13">
        <f t="shared" ca="1" si="60"/>
        <v>361.58847318847762</v>
      </c>
      <c r="BK16" s="13">
        <f t="shared" ca="1" si="61"/>
        <v>387.2682810535556</v>
      </c>
      <c r="BL16" s="13">
        <f t="shared" ca="1" si="62"/>
        <v>343.90880166290219</v>
      </c>
      <c r="BM16" s="13">
        <f t="shared" ca="1" si="63"/>
        <v>374.29862698983868</v>
      </c>
      <c r="BN16" s="13">
        <f t="shared" ca="1" si="64"/>
        <v>381.90059953164564</v>
      </c>
      <c r="BO16" s="13">
        <f t="shared" ca="1" si="65"/>
        <v>353.64119308262576</v>
      </c>
      <c r="BP16" s="13">
        <f t="shared" ca="1" si="66"/>
        <v>356.95627447502841</v>
      </c>
      <c r="BQ16" s="13">
        <f t="shared" ca="1" si="67"/>
        <v>351.69147993580913</v>
      </c>
      <c r="BR16" s="13">
        <f t="shared" ca="1" si="68"/>
        <v>351.38173562532842</v>
      </c>
      <c r="BS16" s="13">
        <f t="shared" ca="1" si="69"/>
        <v>340.92459649020947</v>
      </c>
      <c r="BT16" s="13">
        <f t="shared" ca="1" si="70"/>
        <v>389.69112276075634</v>
      </c>
      <c r="BU16" s="13">
        <f t="shared" ca="1" si="71"/>
        <v>388.96075822971017</v>
      </c>
      <c r="BV16" s="13">
        <f t="shared" ca="1" si="8"/>
        <v>336.67382387778309</v>
      </c>
      <c r="BW16" s="13">
        <f t="shared" ca="1" si="97"/>
        <v>356.72433859916555</v>
      </c>
      <c r="BX16" s="13">
        <f t="shared" ca="1" si="98"/>
        <v>355.3925065746617</v>
      </c>
      <c r="BY16" s="13">
        <f t="shared" ca="1" si="99"/>
        <v>379.59950240967095</v>
      </c>
      <c r="BZ16" s="13">
        <f t="shared" ca="1" si="100"/>
        <v>368.30048320750456</v>
      </c>
      <c r="CA16" s="13">
        <f t="shared" ca="1" si="101"/>
        <v>380.85755440753235</v>
      </c>
      <c r="CB16" s="13">
        <f t="shared" ca="1" si="102"/>
        <v>351.39269310748489</v>
      </c>
      <c r="CC16" s="13">
        <f t="shared" ca="1" si="103"/>
        <v>375.12387067083517</v>
      </c>
      <c r="CD16" s="13">
        <f t="shared" ca="1" si="104"/>
        <v>348.08043926789463</v>
      </c>
      <c r="CE16" s="13">
        <f t="shared" ca="1" si="105"/>
        <v>376.49264549605317</v>
      </c>
      <c r="CF16" s="13">
        <f t="shared" ca="1" si="106"/>
        <v>361.510811044658</v>
      </c>
      <c r="CG16" s="13">
        <f t="shared" ca="1" si="72"/>
        <v>361.45034290595015</v>
      </c>
      <c r="CH16" s="13">
        <f t="shared" ca="1" si="73"/>
        <v>371.81150289500272</v>
      </c>
      <c r="CI16" s="13">
        <f t="shared" ca="1" si="74"/>
        <v>404.91351718895521</v>
      </c>
      <c r="CJ16" s="13">
        <f t="shared" ca="1" si="75"/>
        <v>354.672335429751</v>
      </c>
      <c r="CK16" s="13">
        <f t="shared" ca="1" si="76"/>
        <v>362.19902277805579</v>
      </c>
      <c r="CL16" s="13">
        <f t="shared" ca="1" si="77"/>
        <v>345.65236083763313</v>
      </c>
      <c r="CM16" s="13">
        <f t="shared" ca="1" si="78"/>
        <v>363.31472714663437</v>
      </c>
      <c r="CN16" s="13">
        <f t="shared" ca="1" si="79"/>
        <v>368.47709170232582</v>
      </c>
      <c r="CO16" s="13">
        <f t="shared" ca="1" si="80"/>
        <v>382.16089449915552</v>
      </c>
      <c r="CP16" s="13">
        <f t="shared" ca="1" si="81"/>
        <v>356.38683507191382</v>
      </c>
      <c r="CQ16" s="13">
        <f t="shared" ca="1" si="82"/>
        <v>378.56905905362396</v>
      </c>
      <c r="CR16" s="13">
        <f t="shared" ca="1" si="83"/>
        <v>353.90503069484015</v>
      </c>
      <c r="CS16" s="13">
        <f t="shared" ca="1" si="84"/>
        <v>392.16202319118412</v>
      </c>
      <c r="CT16" s="13">
        <f t="shared" ca="1" si="85"/>
        <v>350.91554369241896</v>
      </c>
      <c r="CU16" s="13">
        <f t="shared" ca="1" si="86"/>
        <v>362.17537475527286</v>
      </c>
      <c r="CV16" s="13">
        <f t="shared" ca="1" si="87"/>
        <v>383.3400437702835</v>
      </c>
      <c r="CW16" s="13">
        <f t="shared" ca="1" si="88"/>
        <v>357.76473144173832</v>
      </c>
      <c r="CX16" s="13">
        <f t="shared" ca="1" si="89"/>
        <v>350.11979635685708</v>
      </c>
      <c r="CY16" s="13">
        <f t="shared" ca="1" si="90"/>
        <v>339.45075546737991</v>
      </c>
      <c r="CZ16" s="13">
        <f t="shared" ca="1" si="91"/>
        <v>343.16469053411697</v>
      </c>
      <c r="DA16" s="13">
        <f t="shared" ca="1" si="92"/>
        <v>380.72953524841773</v>
      </c>
      <c r="DB16" s="13">
        <f t="shared" ca="1" si="93"/>
        <v>353.11345246782605</v>
      </c>
      <c r="DC16" s="13">
        <f t="shared" ca="1" si="94"/>
        <v>349.03581628896694</v>
      </c>
      <c r="DD16" s="13">
        <f t="shared" ca="1" si="95"/>
        <v>355.97931204378864</v>
      </c>
      <c r="DE16" s="13">
        <f t="shared" ca="1" si="96"/>
        <v>378.34386469479011</v>
      </c>
    </row>
    <row r="17" spans="1:109" x14ac:dyDescent="0.3">
      <c r="A17">
        <f>YEARFRAC(swap_curve!$C$1,simulation_path!I17,3)</f>
        <v>6.0273972602739728E-2</v>
      </c>
      <c r="B17" s="31">
        <f>1-(1-swap_curve!$F$3)/_xlfn.DAYS(swap_curve!$I$2,swap_curve!$C$1)*_xlfn.DAYS(I17,$I$2)</f>
        <v>0.99789034007764199</v>
      </c>
      <c r="C17">
        <f t="shared" si="7"/>
        <v>3.5038148282149413E-2</v>
      </c>
      <c r="D17" s="14">
        <v>0</v>
      </c>
      <c r="E17">
        <f t="shared" si="2"/>
        <v>365.77165379875385</v>
      </c>
      <c r="F17" s="27">
        <f t="shared" ca="1" si="3"/>
        <v>0.96985633819855366</v>
      </c>
      <c r="G17">
        <f t="shared" ca="1" si="4"/>
        <v>364.80179746055529</v>
      </c>
      <c r="H17">
        <f t="shared" ca="1" si="5"/>
        <v>14.984746015274057</v>
      </c>
      <c r="I17" s="1">
        <f>WORKDAY(I16,1,holiday!A$3:A$864)</f>
        <v>45441</v>
      </c>
      <c r="J17" s="13">
        <f t="shared" ca="1" si="6"/>
        <v>381.56048946666846</v>
      </c>
      <c r="K17" s="13">
        <f t="shared" ca="1" si="9"/>
        <v>355.65284223378342</v>
      </c>
      <c r="L17" s="13">
        <f t="shared" ca="1" si="10"/>
        <v>384.1656639875045</v>
      </c>
      <c r="M17" s="13">
        <f t="shared" ca="1" si="11"/>
        <v>388.03064843167795</v>
      </c>
      <c r="N17" s="13">
        <f t="shared" ca="1" si="12"/>
        <v>356.28099984757654</v>
      </c>
      <c r="O17" s="13">
        <f t="shared" ca="1" si="13"/>
        <v>388.51695660487269</v>
      </c>
      <c r="P17" s="13">
        <f t="shared" ca="1" si="14"/>
        <v>378.08671235295793</v>
      </c>
      <c r="Q17" s="13">
        <f t="shared" ca="1" si="15"/>
        <v>369.45293457086581</v>
      </c>
      <c r="R17" s="13">
        <f t="shared" ca="1" si="16"/>
        <v>375.57725901577567</v>
      </c>
      <c r="S17" s="13">
        <f t="shared" ca="1" si="17"/>
        <v>336.52887723289928</v>
      </c>
      <c r="T17" s="13">
        <f t="shared" ca="1" si="18"/>
        <v>368.29496503887651</v>
      </c>
      <c r="U17" s="13">
        <f t="shared" ca="1" si="19"/>
        <v>346.37328999862035</v>
      </c>
      <c r="V17" s="13">
        <f t="shared" ca="1" si="20"/>
        <v>357.94330514460074</v>
      </c>
      <c r="W17" s="13">
        <f t="shared" ca="1" si="21"/>
        <v>374.59025245391001</v>
      </c>
      <c r="X17" s="13">
        <f t="shared" ca="1" si="22"/>
        <v>369.79657678702364</v>
      </c>
      <c r="Y17" s="13">
        <f t="shared" ca="1" si="23"/>
        <v>374.43640557682915</v>
      </c>
      <c r="Z17" s="13">
        <f t="shared" ca="1" si="24"/>
        <v>354.09573995944561</v>
      </c>
      <c r="AA17" s="13">
        <f t="shared" ca="1" si="25"/>
        <v>343.88300984915304</v>
      </c>
      <c r="AB17" s="13">
        <f t="shared" ca="1" si="26"/>
        <v>355.34653537280923</v>
      </c>
      <c r="AC17" s="13">
        <f t="shared" ca="1" si="27"/>
        <v>353.97112197288544</v>
      </c>
      <c r="AD17" s="13">
        <f t="shared" ca="1" si="28"/>
        <v>360.80306393022801</v>
      </c>
      <c r="AE17" s="13">
        <f t="shared" ca="1" si="29"/>
        <v>350.92907537236056</v>
      </c>
      <c r="AF17" s="13">
        <f t="shared" ca="1" si="30"/>
        <v>361.5719299568554</v>
      </c>
      <c r="AG17" s="13">
        <f t="shared" ca="1" si="31"/>
        <v>347.67296778466078</v>
      </c>
      <c r="AH17" s="13">
        <f t="shared" ca="1" si="32"/>
        <v>365.09227930483161</v>
      </c>
      <c r="AI17" s="13">
        <f t="shared" ca="1" si="33"/>
        <v>380.93212253305069</v>
      </c>
      <c r="AJ17" s="13">
        <f t="shared" ca="1" si="34"/>
        <v>358.97371285676701</v>
      </c>
      <c r="AK17" s="13">
        <f t="shared" ca="1" si="35"/>
        <v>386.64367548514667</v>
      </c>
      <c r="AL17" s="13">
        <f t="shared" ca="1" si="36"/>
        <v>344.19330102997276</v>
      </c>
      <c r="AM17" s="13">
        <f t="shared" ca="1" si="37"/>
        <v>373.62005645957373</v>
      </c>
      <c r="AN17" s="13">
        <f t="shared" ca="1" si="38"/>
        <v>399.2785868341486</v>
      </c>
      <c r="AO17" s="13">
        <f t="shared" ca="1" si="39"/>
        <v>364.43476402097792</v>
      </c>
      <c r="AP17" s="13">
        <f t="shared" ca="1" si="40"/>
        <v>342.53371824209887</v>
      </c>
      <c r="AQ17" s="13">
        <f t="shared" ca="1" si="41"/>
        <v>380.21673731982355</v>
      </c>
      <c r="AR17" s="13">
        <f t="shared" ca="1" si="42"/>
        <v>367.72660462536737</v>
      </c>
      <c r="AS17" s="13">
        <f t="shared" ca="1" si="43"/>
        <v>369.68837924317921</v>
      </c>
      <c r="AT17" s="13">
        <f t="shared" ca="1" si="44"/>
        <v>361.85208540775636</v>
      </c>
      <c r="AU17" s="13">
        <f t="shared" ca="1" si="45"/>
        <v>346.50879256900498</v>
      </c>
      <c r="AV17" s="13">
        <f t="shared" ca="1" si="46"/>
        <v>366.92336580876139</v>
      </c>
      <c r="AW17" s="13">
        <f t="shared" ca="1" si="47"/>
        <v>355.79191778416714</v>
      </c>
      <c r="AX17" s="13">
        <f t="shared" ca="1" si="48"/>
        <v>352.6130078346618</v>
      </c>
      <c r="AY17" s="13">
        <f t="shared" ca="1" si="49"/>
        <v>355.75004702897564</v>
      </c>
      <c r="AZ17" s="13">
        <f t="shared" ca="1" si="50"/>
        <v>368.87015272067083</v>
      </c>
      <c r="BA17" s="13">
        <f t="shared" ca="1" si="51"/>
        <v>374.634174632103</v>
      </c>
      <c r="BB17" s="13">
        <f t="shared" ca="1" si="52"/>
        <v>370.14357156496783</v>
      </c>
      <c r="BC17" s="13">
        <f t="shared" ca="1" si="53"/>
        <v>367.57517100193542</v>
      </c>
      <c r="BD17" s="13">
        <f t="shared" ca="1" si="54"/>
        <v>356.37578040791743</v>
      </c>
      <c r="BE17" s="13">
        <f t="shared" ca="1" si="55"/>
        <v>365.47411763798567</v>
      </c>
      <c r="BF17" s="13">
        <f t="shared" ca="1" si="56"/>
        <v>356.90250654626811</v>
      </c>
      <c r="BG17" s="13">
        <f t="shared" ca="1" si="57"/>
        <v>392.97445229645876</v>
      </c>
      <c r="BH17" s="13">
        <f t="shared" ca="1" si="58"/>
        <v>356.07387925076029</v>
      </c>
      <c r="BI17" s="13">
        <f t="shared" ca="1" si="59"/>
        <v>360.86299939241508</v>
      </c>
      <c r="BJ17" s="13">
        <f t="shared" ca="1" si="60"/>
        <v>362.476590969646</v>
      </c>
      <c r="BK17" s="13">
        <f t="shared" ca="1" si="61"/>
        <v>388.3901726595916</v>
      </c>
      <c r="BL17" s="13">
        <f t="shared" ca="1" si="62"/>
        <v>346.44570945078777</v>
      </c>
      <c r="BM17" s="13">
        <f t="shared" ca="1" si="63"/>
        <v>377.51726119900832</v>
      </c>
      <c r="BN17" s="13">
        <f t="shared" ca="1" si="64"/>
        <v>380.97493784301014</v>
      </c>
      <c r="BO17" s="13">
        <f t="shared" ca="1" si="65"/>
        <v>357.6546161491932</v>
      </c>
      <c r="BP17" s="13">
        <f t="shared" ca="1" si="66"/>
        <v>359.37476651786733</v>
      </c>
      <c r="BQ17" s="13">
        <f t="shared" ca="1" si="67"/>
        <v>353.30955218526373</v>
      </c>
      <c r="BR17" s="13">
        <f t="shared" ca="1" si="68"/>
        <v>355.40502791895682</v>
      </c>
      <c r="BS17" s="13">
        <f t="shared" ca="1" si="69"/>
        <v>340.38457333143612</v>
      </c>
      <c r="BT17" s="13">
        <f t="shared" ca="1" si="70"/>
        <v>389.26450870401106</v>
      </c>
      <c r="BU17" s="13">
        <f t="shared" ca="1" si="71"/>
        <v>384.73822373025848</v>
      </c>
      <c r="BV17" s="13">
        <f t="shared" ca="1" si="8"/>
        <v>335.12561968889378</v>
      </c>
      <c r="BW17" s="13">
        <f t="shared" ca="1" si="97"/>
        <v>353.10116034371418</v>
      </c>
      <c r="BX17" s="13">
        <f t="shared" ca="1" si="98"/>
        <v>358.17950064262095</v>
      </c>
      <c r="BY17" s="13">
        <f t="shared" ca="1" si="99"/>
        <v>384.30226714545717</v>
      </c>
      <c r="BZ17" s="13">
        <f t="shared" ca="1" si="100"/>
        <v>372.01070961899939</v>
      </c>
      <c r="CA17" s="13">
        <f t="shared" ca="1" si="101"/>
        <v>383.79840705409464</v>
      </c>
      <c r="CB17" s="13">
        <f t="shared" ca="1" si="102"/>
        <v>352.65674485062931</v>
      </c>
      <c r="CC17" s="13">
        <f t="shared" ca="1" si="103"/>
        <v>370.50672870953053</v>
      </c>
      <c r="CD17" s="13">
        <f t="shared" ca="1" si="104"/>
        <v>346.78526022115648</v>
      </c>
      <c r="CE17" s="13">
        <f t="shared" ca="1" si="105"/>
        <v>375.24369913343071</v>
      </c>
      <c r="CF17" s="13">
        <f t="shared" ca="1" si="106"/>
        <v>363.42439199843733</v>
      </c>
      <c r="CG17" s="13">
        <f t="shared" ca="1" si="72"/>
        <v>365.4862592794442</v>
      </c>
      <c r="CH17" s="13">
        <f t="shared" ca="1" si="73"/>
        <v>372.5152746047761</v>
      </c>
      <c r="CI17" s="13">
        <f t="shared" ca="1" si="74"/>
        <v>402.59940360181895</v>
      </c>
      <c r="CJ17" s="13">
        <f t="shared" ca="1" si="75"/>
        <v>349.19730937850289</v>
      </c>
      <c r="CK17" s="13">
        <f t="shared" ca="1" si="76"/>
        <v>360.56128199788236</v>
      </c>
      <c r="CL17" s="13">
        <f t="shared" ca="1" si="77"/>
        <v>350.65507739346367</v>
      </c>
      <c r="CM17" s="13">
        <f t="shared" ca="1" si="78"/>
        <v>359.03694188390506</v>
      </c>
      <c r="CN17" s="13">
        <f t="shared" ca="1" si="79"/>
        <v>374.68521978728819</v>
      </c>
      <c r="CO17" s="13">
        <f t="shared" ca="1" si="80"/>
        <v>387.48807960711969</v>
      </c>
      <c r="CP17" s="13">
        <f t="shared" ca="1" si="81"/>
        <v>355.68653800058161</v>
      </c>
      <c r="CQ17" s="13">
        <f t="shared" ca="1" si="82"/>
        <v>382.19652104437472</v>
      </c>
      <c r="CR17" s="13">
        <f t="shared" ca="1" si="83"/>
        <v>356.17255410227682</v>
      </c>
      <c r="CS17" s="13">
        <f t="shared" ca="1" si="84"/>
        <v>395.11122843072962</v>
      </c>
      <c r="CT17" s="13">
        <f t="shared" ca="1" si="85"/>
        <v>343.14565594147393</v>
      </c>
      <c r="CU17" s="13">
        <f t="shared" ca="1" si="86"/>
        <v>359.90424532615771</v>
      </c>
      <c r="CV17" s="13">
        <f t="shared" ca="1" si="87"/>
        <v>375.79080052640819</v>
      </c>
      <c r="CW17" s="13">
        <f t="shared" ca="1" si="88"/>
        <v>357.63138244067841</v>
      </c>
      <c r="CX17" s="13">
        <f t="shared" ca="1" si="89"/>
        <v>351.74420745419832</v>
      </c>
      <c r="CY17" s="13">
        <f t="shared" ca="1" si="90"/>
        <v>343.75929423547609</v>
      </c>
      <c r="CZ17" s="13">
        <f t="shared" ca="1" si="91"/>
        <v>346.24103554007667</v>
      </c>
      <c r="DA17" s="13">
        <f t="shared" ca="1" si="92"/>
        <v>383.37255322340258</v>
      </c>
      <c r="DB17" s="13">
        <f t="shared" ca="1" si="93"/>
        <v>351.65690478762161</v>
      </c>
      <c r="DC17" s="13">
        <f t="shared" ca="1" si="94"/>
        <v>351.48836185273933</v>
      </c>
      <c r="DD17" s="13">
        <f t="shared" ca="1" si="95"/>
        <v>357.0119954831037</v>
      </c>
      <c r="DE17" s="13">
        <f t="shared" ca="1" si="96"/>
        <v>379.74960728345144</v>
      </c>
    </row>
    <row r="18" spans="1:109" x14ac:dyDescent="0.3">
      <c r="A18">
        <f>YEARFRAC(swap_curve!$C$1,simulation_path!I18,3)</f>
        <v>6.3013698630136991E-2</v>
      </c>
      <c r="B18" s="31">
        <f>1-(1-swap_curve!$F$3)/_xlfn.DAYS(swap_curve!$I$2,swap_curve!$C$1)*_xlfn.DAYS(I18,$I$2)</f>
        <v>0.99779444644480753</v>
      </c>
      <c r="C18">
        <f t="shared" si="7"/>
        <v>3.5039831316702873E-2</v>
      </c>
      <c r="D18" s="14">
        <v>0</v>
      </c>
      <c r="E18">
        <f t="shared" si="2"/>
        <v>365.80680650259541</v>
      </c>
      <c r="F18" s="27">
        <f t="shared" ca="1" si="3"/>
        <v>1.3597804753509877</v>
      </c>
      <c r="G18">
        <f t="shared" ca="1" si="4"/>
        <v>364.44702602724442</v>
      </c>
      <c r="H18">
        <f t="shared" ca="1" si="5"/>
        <v>14.896990184442092</v>
      </c>
      <c r="I18" s="1">
        <f>WORKDAY(I17,1,holiday!A$3:A$864)</f>
        <v>45442</v>
      </c>
      <c r="J18" s="13">
        <f t="shared" ca="1" si="6"/>
        <v>379.65475113893751</v>
      </c>
      <c r="K18" s="13">
        <f t="shared" ca="1" si="9"/>
        <v>355.59745878708759</v>
      </c>
      <c r="L18" s="13">
        <f t="shared" ca="1" si="10"/>
        <v>382.59178564030447</v>
      </c>
      <c r="M18" s="13">
        <f t="shared" ca="1" si="11"/>
        <v>389.21260876810527</v>
      </c>
      <c r="N18" s="13">
        <f t="shared" ca="1" si="12"/>
        <v>355.0030274181791</v>
      </c>
      <c r="O18" s="13">
        <f t="shared" ca="1" si="13"/>
        <v>386.22359622358698</v>
      </c>
      <c r="P18" s="13">
        <f t="shared" ca="1" si="14"/>
        <v>382.71150498751803</v>
      </c>
      <c r="Q18" s="13">
        <f t="shared" ca="1" si="15"/>
        <v>365.37955495936262</v>
      </c>
      <c r="R18" s="13">
        <f t="shared" ca="1" si="16"/>
        <v>373.46414166535016</v>
      </c>
      <c r="S18" s="13">
        <f t="shared" ca="1" si="17"/>
        <v>334.82988285486516</v>
      </c>
      <c r="T18" s="13">
        <f t="shared" ca="1" si="18"/>
        <v>365.10803154150534</v>
      </c>
      <c r="U18" s="13">
        <f t="shared" ca="1" si="19"/>
        <v>345.86686872286322</v>
      </c>
      <c r="V18" s="13">
        <f t="shared" ca="1" si="20"/>
        <v>360.59228464285792</v>
      </c>
      <c r="W18" s="13">
        <f t="shared" ca="1" si="21"/>
        <v>373.02551601584452</v>
      </c>
      <c r="X18" s="13">
        <f t="shared" ca="1" si="22"/>
        <v>368.46870584047474</v>
      </c>
      <c r="Y18" s="13">
        <f t="shared" ca="1" si="23"/>
        <v>369.95209230616484</v>
      </c>
      <c r="Z18" s="13">
        <f t="shared" ca="1" si="24"/>
        <v>358.37101949509429</v>
      </c>
      <c r="AA18" s="13">
        <f t="shared" ca="1" si="25"/>
        <v>347.33819998349867</v>
      </c>
      <c r="AB18" s="13">
        <f t="shared" ca="1" si="26"/>
        <v>361.4077171567439</v>
      </c>
      <c r="AC18" s="13">
        <f t="shared" ca="1" si="27"/>
        <v>354.80793037701932</v>
      </c>
      <c r="AD18" s="13">
        <f t="shared" ca="1" si="28"/>
        <v>362.82492120360752</v>
      </c>
      <c r="AE18" s="13">
        <f t="shared" ca="1" si="29"/>
        <v>346.67892172049005</v>
      </c>
      <c r="AF18" s="13">
        <f t="shared" ca="1" si="30"/>
        <v>364.52780613066767</v>
      </c>
      <c r="AG18" s="13">
        <f t="shared" ca="1" si="31"/>
        <v>348.12738110429552</v>
      </c>
      <c r="AH18" s="13">
        <f t="shared" ca="1" si="32"/>
        <v>367.62474976272193</v>
      </c>
      <c r="AI18" s="13">
        <f t="shared" ca="1" si="33"/>
        <v>374.89003961946196</v>
      </c>
      <c r="AJ18" s="13">
        <f t="shared" ca="1" si="34"/>
        <v>347.25434761903472</v>
      </c>
      <c r="AK18" s="13">
        <f t="shared" ca="1" si="35"/>
        <v>381.56182142177369</v>
      </c>
      <c r="AL18" s="13">
        <f t="shared" ca="1" si="36"/>
        <v>344.23113633661092</v>
      </c>
      <c r="AM18" s="13">
        <f t="shared" ca="1" si="37"/>
        <v>374.36600848075341</v>
      </c>
      <c r="AN18" s="13">
        <f t="shared" ca="1" si="38"/>
        <v>402.88898119374335</v>
      </c>
      <c r="AO18" s="13">
        <f t="shared" ca="1" si="39"/>
        <v>363.72087935245423</v>
      </c>
      <c r="AP18" s="13">
        <f t="shared" ca="1" si="40"/>
        <v>340.30954306203762</v>
      </c>
      <c r="AQ18" s="13">
        <f t="shared" ca="1" si="41"/>
        <v>380.37137062240737</v>
      </c>
      <c r="AR18" s="13">
        <f t="shared" ca="1" si="42"/>
        <v>360.32606193476306</v>
      </c>
      <c r="AS18" s="13">
        <f t="shared" ca="1" si="43"/>
        <v>365.08455964793905</v>
      </c>
      <c r="AT18" s="13">
        <f t="shared" ca="1" si="44"/>
        <v>359.80793836730237</v>
      </c>
      <c r="AU18" s="13">
        <f t="shared" ca="1" si="45"/>
        <v>349.55240289883318</v>
      </c>
      <c r="AV18" s="13">
        <f t="shared" ca="1" si="46"/>
        <v>364.92043214672952</v>
      </c>
      <c r="AW18" s="13">
        <f t="shared" ca="1" si="47"/>
        <v>355.1386159759947</v>
      </c>
      <c r="AX18" s="13">
        <f t="shared" ca="1" si="48"/>
        <v>355.08458256529713</v>
      </c>
      <c r="AY18" s="13">
        <f t="shared" ca="1" si="49"/>
        <v>360.22402705670521</v>
      </c>
      <c r="AZ18" s="13">
        <f t="shared" ca="1" si="50"/>
        <v>367.80452698175435</v>
      </c>
      <c r="BA18" s="13">
        <f t="shared" ca="1" si="51"/>
        <v>376.42233995529068</v>
      </c>
      <c r="BB18" s="13">
        <f t="shared" ca="1" si="52"/>
        <v>371.92595623003535</v>
      </c>
      <c r="BC18" s="13">
        <f t="shared" ca="1" si="53"/>
        <v>368.61658086179432</v>
      </c>
      <c r="BD18" s="13">
        <f t="shared" ca="1" si="54"/>
        <v>350.07789812887978</v>
      </c>
      <c r="BE18" s="13">
        <f t="shared" ca="1" si="55"/>
        <v>360.50494568386642</v>
      </c>
      <c r="BF18" s="13">
        <f t="shared" ca="1" si="56"/>
        <v>352.00837359979079</v>
      </c>
      <c r="BG18" s="13">
        <f t="shared" ca="1" si="57"/>
        <v>392.63626502400086</v>
      </c>
      <c r="BH18" s="13">
        <f t="shared" ca="1" si="58"/>
        <v>346.90318674906774</v>
      </c>
      <c r="BI18" s="13">
        <f t="shared" ca="1" si="59"/>
        <v>360.94279055923744</v>
      </c>
      <c r="BJ18" s="13">
        <f t="shared" ca="1" si="60"/>
        <v>362.74351803901141</v>
      </c>
      <c r="BK18" s="13">
        <f t="shared" ca="1" si="61"/>
        <v>387.27439219669526</v>
      </c>
      <c r="BL18" s="13">
        <f t="shared" ca="1" si="62"/>
        <v>343.74789663456454</v>
      </c>
      <c r="BM18" s="13">
        <f t="shared" ca="1" si="63"/>
        <v>375.77706544253164</v>
      </c>
      <c r="BN18" s="13">
        <f t="shared" ca="1" si="64"/>
        <v>379.60116652725145</v>
      </c>
      <c r="BO18" s="13">
        <f t="shared" ca="1" si="65"/>
        <v>355.29120672592859</v>
      </c>
      <c r="BP18" s="13">
        <f t="shared" ca="1" si="66"/>
        <v>359.94090797767768</v>
      </c>
      <c r="BQ18" s="13">
        <f t="shared" ca="1" si="67"/>
        <v>351.39131870170314</v>
      </c>
      <c r="BR18" s="13">
        <f t="shared" ca="1" si="68"/>
        <v>355.94227089393826</v>
      </c>
      <c r="BS18" s="13">
        <f t="shared" ca="1" si="69"/>
        <v>344.97442573077853</v>
      </c>
      <c r="BT18" s="13">
        <f t="shared" ca="1" si="70"/>
        <v>384.49937226061837</v>
      </c>
      <c r="BU18" s="13">
        <f t="shared" ca="1" si="71"/>
        <v>389.07252650467672</v>
      </c>
      <c r="BV18" s="13">
        <f t="shared" ca="1" si="8"/>
        <v>338.52191457187325</v>
      </c>
      <c r="BW18" s="13">
        <f t="shared" ca="1" si="97"/>
        <v>349.19676217739573</v>
      </c>
      <c r="BX18" s="13">
        <f t="shared" ca="1" si="98"/>
        <v>361.87251164478374</v>
      </c>
      <c r="BY18" s="13">
        <f t="shared" ca="1" si="99"/>
        <v>385.77736466455173</v>
      </c>
      <c r="BZ18" s="13">
        <f t="shared" ca="1" si="100"/>
        <v>375.79150306755196</v>
      </c>
      <c r="CA18" s="13">
        <f t="shared" ca="1" si="101"/>
        <v>384.99555461095491</v>
      </c>
      <c r="CB18" s="13">
        <f t="shared" ca="1" si="102"/>
        <v>356.23555209668643</v>
      </c>
      <c r="CC18" s="13">
        <f t="shared" ca="1" si="103"/>
        <v>371.7773021717498</v>
      </c>
      <c r="CD18" s="13">
        <f t="shared" ca="1" si="104"/>
        <v>348.87832796603357</v>
      </c>
      <c r="CE18" s="13">
        <f t="shared" ca="1" si="105"/>
        <v>373.53066638470261</v>
      </c>
      <c r="CF18" s="13">
        <f t="shared" ca="1" si="106"/>
        <v>363.92761964217829</v>
      </c>
      <c r="CG18" s="13">
        <f t="shared" ca="1" si="72"/>
        <v>365.26778818588991</v>
      </c>
      <c r="CH18" s="13">
        <f t="shared" ca="1" si="73"/>
        <v>375.89603601826144</v>
      </c>
      <c r="CI18" s="13">
        <f t="shared" ca="1" si="74"/>
        <v>396.68677179456643</v>
      </c>
      <c r="CJ18" s="13">
        <f t="shared" ca="1" si="75"/>
        <v>357.01987542832921</v>
      </c>
      <c r="CK18" s="13">
        <f t="shared" ca="1" si="76"/>
        <v>353.62239276679134</v>
      </c>
      <c r="CL18" s="13">
        <f t="shared" ca="1" si="77"/>
        <v>348.83550738233794</v>
      </c>
      <c r="CM18" s="13">
        <f t="shared" ca="1" si="78"/>
        <v>358.19525587191021</v>
      </c>
      <c r="CN18" s="13">
        <f t="shared" ca="1" si="79"/>
        <v>370.11635698682511</v>
      </c>
      <c r="CO18" s="13">
        <f t="shared" ca="1" si="80"/>
        <v>385.8134436206492</v>
      </c>
      <c r="CP18" s="13">
        <f t="shared" ca="1" si="81"/>
        <v>362.6500814545517</v>
      </c>
      <c r="CQ18" s="13">
        <f t="shared" ca="1" si="82"/>
        <v>384.24721282042657</v>
      </c>
      <c r="CR18" s="13">
        <f t="shared" ca="1" si="83"/>
        <v>354.55521119984348</v>
      </c>
      <c r="CS18" s="13">
        <f t="shared" ca="1" si="84"/>
        <v>392.33946752055607</v>
      </c>
      <c r="CT18" s="13">
        <f t="shared" ca="1" si="85"/>
        <v>344.08716943866432</v>
      </c>
      <c r="CU18" s="13">
        <f t="shared" ca="1" si="86"/>
        <v>362.00162449513391</v>
      </c>
      <c r="CV18" s="13">
        <f t="shared" ca="1" si="87"/>
        <v>380.65218824563749</v>
      </c>
      <c r="CW18" s="13">
        <f t="shared" ca="1" si="88"/>
        <v>356.86939517685175</v>
      </c>
      <c r="CX18" s="13">
        <f t="shared" ca="1" si="89"/>
        <v>351.31049252474128</v>
      </c>
      <c r="CY18" s="13">
        <f t="shared" ca="1" si="90"/>
        <v>337.03369848602966</v>
      </c>
      <c r="CZ18" s="13">
        <f t="shared" ca="1" si="91"/>
        <v>351.95938823356909</v>
      </c>
      <c r="DA18" s="13">
        <f t="shared" ca="1" si="92"/>
        <v>384.1184068157819</v>
      </c>
      <c r="DB18" s="13">
        <f t="shared" ca="1" si="93"/>
        <v>353.50605832160335</v>
      </c>
      <c r="DC18" s="13">
        <f t="shared" ca="1" si="94"/>
        <v>350.47943764530049</v>
      </c>
      <c r="DD18" s="13">
        <f t="shared" ca="1" si="95"/>
        <v>357.8715968558667</v>
      </c>
      <c r="DE18" s="13">
        <f t="shared" ca="1" si="96"/>
        <v>381.84052827776628</v>
      </c>
    </row>
    <row r="19" spans="1:109" x14ac:dyDescent="0.3">
      <c r="A19">
        <f>YEARFRAC(swap_curve!$C$1,simulation_path!I19,3)</f>
        <v>6.575342465753424E-2</v>
      </c>
      <c r="B19" s="31">
        <f>1-(1-swap_curve!$F$3)/_xlfn.DAYS(swap_curve!$I$2,swap_curve!$C$1)*_xlfn.DAYS(I19,$I$2)</f>
        <v>0.99769855281197306</v>
      </c>
      <c r="C19">
        <f t="shared" si="7"/>
        <v>3.5041514566895852E-2</v>
      </c>
      <c r="D19" s="14">
        <v>0</v>
      </c>
      <c r="E19">
        <f t="shared" si="2"/>
        <v>365.84196596382975</v>
      </c>
      <c r="F19" s="27">
        <f t="shared" ca="1" si="3"/>
        <v>1.9774787518060748</v>
      </c>
      <c r="G19">
        <f t="shared" ca="1" si="4"/>
        <v>363.86448721202368</v>
      </c>
      <c r="H19">
        <f t="shared" ca="1" si="5"/>
        <v>15.802993639086047</v>
      </c>
      <c r="I19" s="1">
        <f>WORKDAY(I18,1,holiday!A$3:A$864)</f>
        <v>45443</v>
      </c>
      <c r="J19" s="13">
        <f t="shared" ca="1" si="6"/>
        <v>384.08445309084152</v>
      </c>
      <c r="K19" s="13">
        <f t="shared" ca="1" si="9"/>
        <v>355.90016289926638</v>
      </c>
      <c r="L19" s="13">
        <f t="shared" ca="1" si="10"/>
        <v>386.23132615271828</v>
      </c>
      <c r="M19" s="13">
        <f t="shared" ca="1" si="11"/>
        <v>384.29856565190926</v>
      </c>
      <c r="N19" s="13">
        <f t="shared" ca="1" si="12"/>
        <v>347.87457850600276</v>
      </c>
      <c r="O19" s="13">
        <f t="shared" ca="1" si="13"/>
        <v>385.45891978931007</v>
      </c>
      <c r="P19" s="13">
        <f t="shared" ca="1" si="14"/>
        <v>379.44094077879561</v>
      </c>
      <c r="Q19" s="13">
        <f t="shared" ca="1" si="15"/>
        <v>361.74871314965338</v>
      </c>
      <c r="R19" s="13">
        <f t="shared" ca="1" si="16"/>
        <v>376.56978008393497</v>
      </c>
      <c r="S19" s="13">
        <f t="shared" ca="1" si="17"/>
        <v>331.00496404389946</v>
      </c>
      <c r="T19" s="13">
        <f t="shared" ca="1" si="18"/>
        <v>367.12658568251743</v>
      </c>
      <c r="U19" s="13">
        <f t="shared" ca="1" si="19"/>
        <v>345.40669540526739</v>
      </c>
      <c r="V19" s="13">
        <f t="shared" ca="1" si="20"/>
        <v>361.17704221772851</v>
      </c>
      <c r="W19" s="13">
        <f t="shared" ca="1" si="21"/>
        <v>372.55081226089601</v>
      </c>
      <c r="X19" s="13">
        <f t="shared" ca="1" si="22"/>
        <v>363.92415953627898</v>
      </c>
      <c r="Y19" s="13">
        <f t="shared" ca="1" si="23"/>
        <v>364.49351950066455</v>
      </c>
      <c r="Z19" s="13">
        <f t="shared" ca="1" si="24"/>
        <v>360.65272261531959</v>
      </c>
      <c r="AA19" s="13">
        <f t="shared" ca="1" si="25"/>
        <v>336.89379193131498</v>
      </c>
      <c r="AB19" s="13">
        <f t="shared" ca="1" si="26"/>
        <v>363.62320671974959</v>
      </c>
      <c r="AC19" s="13">
        <f t="shared" ca="1" si="27"/>
        <v>354.19500784165939</v>
      </c>
      <c r="AD19" s="13">
        <f t="shared" ca="1" si="28"/>
        <v>364.97728134914331</v>
      </c>
      <c r="AE19" s="13">
        <f t="shared" ca="1" si="29"/>
        <v>346.81149330609128</v>
      </c>
      <c r="AF19" s="13">
        <f t="shared" ca="1" si="30"/>
        <v>365.13412198338312</v>
      </c>
      <c r="AG19" s="13">
        <f t="shared" ca="1" si="31"/>
        <v>351.89887009750146</v>
      </c>
      <c r="AH19" s="13">
        <f t="shared" ca="1" si="32"/>
        <v>367.4413796193013</v>
      </c>
      <c r="AI19" s="13">
        <f t="shared" ca="1" si="33"/>
        <v>380.38017426457986</v>
      </c>
      <c r="AJ19" s="13">
        <f t="shared" ca="1" si="34"/>
        <v>343.64351849423633</v>
      </c>
      <c r="AK19" s="13">
        <f t="shared" ca="1" si="35"/>
        <v>376.08142591614768</v>
      </c>
      <c r="AL19" s="13">
        <f t="shared" ca="1" si="36"/>
        <v>344.52190537089285</v>
      </c>
      <c r="AM19" s="13">
        <f t="shared" ca="1" si="37"/>
        <v>375.76546205140937</v>
      </c>
      <c r="AN19" s="13">
        <f t="shared" ca="1" si="38"/>
        <v>401.54784499485794</v>
      </c>
      <c r="AO19" s="13">
        <f t="shared" ca="1" si="39"/>
        <v>364.72140969738007</v>
      </c>
      <c r="AP19" s="13">
        <f t="shared" ca="1" si="40"/>
        <v>335.22904071832613</v>
      </c>
      <c r="AQ19" s="13">
        <f t="shared" ca="1" si="41"/>
        <v>377.92391543488799</v>
      </c>
      <c r="AR19" s="13">
        <f t="shared" ca="1" si="42"/>
        <v>353.91552614071503</v>
      </c>
      <c r="AS19" s="13">
        <f t="shared" ca="1" si="43"/>
        <v>369.23710264809483</v>
      </c>
      <c r="AT19" s="13">
        <f t="shared" ca="1" si="44"/>
        <v>357.37785968265575</v>
      </c>
      <c r="AU19" s="13">
        <f t="shared" ca="1" si="45"/>
        <v>353.06949583749429</v>
      </c>
      <c r="AV19" s="13">
        <f t="shared" ca="1" si="46"/>
        <v>358.9859570034011</v>
      </c>
      <c r="AW19" s="13">
        <f t="shared" ca="1" si="47"/>
        <v>352.73446183485777</v>
      </c>
      <c r="AX19" s="13">
        <f t="shared" ca="1" si="48"/>
        <v>355.73935100170434</v>
      </c>
      <c r="AY19" s="13">
        <f t="shared" ca="1" si="49"/>
        <v>358.73223659641525</v>
      </c>
      <c r="AZ19" s="13">
        <f t="shared" ca="1" si="50"/>
        <v>363.18576551229665</v>
      </c>
      <c r="BA19" s="13">
        <f t="shared" ca="1" si="51"/>
        <v>378.26990008795468</v>
      </c>
      <c r="BB19" s="13">
        <f t="shared" ca="1" si="52"/>
        <v>367.94369846705536</v>
      </c>
      <c r="BC19" s="13">
        <f t="shared" ca="1" si="53"/>
        <v>373.788889742859</v>
      </c>
      <c r="BD19" s="13">
        <f t="shared" ca="1" si="54"/>
        <v>346.54962259186954</v>
      </c>
      <c r="BE19" s="13">
        <f t="shared" ca="1" si="55"/>
        <v>357.23209157019659</v>
      </c>
      <c r="BF19" s="13">
        <f t="shared" ca="1" si="56"/>
        <v>351.62562217454604</v>
      </c>
      <c r="BG19" s="13">
        <f t="shared" ca="1" si="57"/>
        <v>401.26173946612664</v>
      </c>
      <c r="BH19" s="13">
        <f t="shared" ca="1" si="58"/>
        <v>345.83374502912972</v>
      </c>
      <c r="BI19" s="13">
        <f t="shared" ca="1" si="59"/>
        <v>360.67156734687626</v>
      </c>
      <c r="BJ19" s="13">
        <f t="shared" ca="1" si="60"/>
        <v>361.08112905699727</v>
      </c>
      <c r="BK19" s="13">
        <f t="shared" ca="1" si="61"/>
        <v>389.68011107483602</v>
      </c>
      <c r="BL19" s="13">
        <f t="shared" ca="1" si="62"/>
        <v>346.57365425570219</v>
      </c>
      <c r="BM19" s="13">
        <f t="shared" ca="1" si="63"/>
        <v>377.61514111773329</v>
      </c>
      <c r="BN19" s="13">
        <f t="shared" ca="1" si="64"/>
        <v>382.85833915126852</v>
      </c>
      <c r="BO19" s="13">
        <f t="shared" ca="1" si="65"/>
        <v>355.23205430951771</v>
      </c>
      <c r="BP19" s="13">
        <f t="shared" ca="1" si="66"/>
        <v>356.99698043043912</v>
      </c>
      <c r="BQ19" s="13">
        <f t="shared" ca="1" si="67"/>
        <v>350.56889774924372</v>
      </c>
      <c r="BR19" s="13">
        <f t="shared" ca="1" si="68"/>
        <v>357.54686121189496</v>
      </c>
      <c r="BS19" s="13">
        <f t="shared" ca="1" si="69"/>
        <v>345.17214141567791</v>
      </c>
      <c r="BT19" s="13">
        <f t="shared" ca="1" si="70"/>
        <v>385.41763754194858</v>
      </c>
      <c r="BU19" s="13">
        <f t="shared" ca="1" si="71"/>
        <v>386.29158646067913</v>
      </c>
      <c r="BV19" s="13">
        <f t="shared" ca="1" si="8"/>
        <v>340.48395746344181</v>
      </c>
      <c r="BW19" s="13">
        <f t="shared" ca="1" si="97"/>
        <v>341.81705559152397</v>
      </c>
      <c r="BX19" s="13">
        <f t="shared" ca="1" si="98"/>
        <v>361.22579241839946</v>
      </c>
      <c r="BY19" s="13">
        <f t="shared" ca="1" si="99"/>
        <v>388.61474400506034</v>
      </c>
      <c r="BZ19" s="13">
        <f t="shared" ca="1" si="100"/>
        <v>376.09111182418519</v>
      </c>
      <c r="CA19" s="13">
        <f t="shared" ca="1" si="101"/>
        <v>389.64349500525663</v>
      </c>
      <c r="CB19" s="13">
        <f t="shared" ca="1" si="102"/>
        <v>353.317169262824</v>
      </c>
      <c r="CC19" s="13">
        <f t="shared" ca="1" si="103"/>
        <v>369.0633507921562</v>
      </c>
      <c r="CD19" s="13">
        <f t="shared" ca="1" si="104"/>
        <v>350.44713403579772</v>
      </c>
      <c r="CE19" s="13">
        <f t="shared" ca="1" si="105"/>
        <v>375.67121791572043</v>
      </c>
      <c r="CF19" s="13">
        <f t="shared" ca="1" si="106"/>
        <v>365.95281773522936</v>
      </c>
      <c r="CG19" s="13">
        <f t="shared" ca="1" si="72"/>
        <v>364.89791075676942</v>
      </c>
      <c r="CH19" s="13">
        <f t="shared" ca="1" si="73"/>
        <v>382.98377256856003</v>
      </c>
      <c r="CI19" s="13">
        <f t="shared" ca="1" si="74"/>
        <v>399.43757045719252</v>
      </c>
      <c r="CJ19" s="13">
        <f t="shared" ca="1" si="75"/>
        <v>355.93276306582646</v>
      </c>
      <c r="CK19" s="13">
        <f t="shared" ca="1" si="76"/>
        <v>345.26184820973776</v>
      </c>
      <c r="CL19" s="13">
        <f t="shared" ca="1" si="77"/>
        <v>347.82527032741996</v>
      </c>
      <c r="CM19" s="13">
        <f t="shared" ca="1" si="78"/>
        <v>356.55500965539107</v>
      </c>
      <c r="CN19" s="13">
        <f t="shared" ca="1" si="79"/>
        <v>375.71040800207908</v>
      </c>
      <c r="CO19" s="13">
        <f t="shared" ca="1" si="80"/>
        <v>384.33633383611846</v>
      </c>
      <c r="CP19" s="13">
        <f t="shared" ca="1" si="81"/>
        <v>359.3806209475938</v>
      </c>
      <c r="CQ19" s="13">
        <f t="shared" ca="1" si="82"/>
        <v>383.66569789681722</v>
      </c>
      <c r="CR19" s="13">
        <f t="shared" ca="1" si="83"/>
        <v>355.30344580126314</v>
      </c>
      <c r="CS19" s="13">
        <f t="shared" ca="1" si="84"/>
        <v>386.83512610985122</v>
      </c>
      <c r="CT19" s="13">
        <f t="shared" ca="1" si="85"/>
        <v>345.13805141021976</v>
      </c>
      <c r="CU19" s="13">
        <f t="shared" ca="1" si="86"/>
        <v>354.77540700942171</v>
      </c>
      <c r="CV19" s="13">
        <f t="shared" ca="1" si="87"/>
        <v>380.70280621847212</v>
      </c>
      <c r="CW19" s="13">
        <f t="shared" ca="1" si="88"/>
        <v>358.43097565812542</v>
      </c>
      <c r="CX19" s="13">
        <f t="shared" ca="1" si="89"/>
        <v>351.92371371376532</v>
      </c>
      <c r="CY19" s="13">
        <f t="shared" ca="1" si="90"/>
        <v>334.93957829432946</v>
      </c>
      <c r="CZ19" s="13">
        <f t="shared" ca="1" si="91"/>
        <v>352.11203229687902</v>
      </c>
      <c r="DA19" s="13">
        <f t="shared" ca="1" si="92"/>
        <v>376.32161535800566</v>
      </c>
      <c r="DB19" s="13">
        <f t="shared" ca="1" si="93"/>
        <v>355.11026840560396</v>
      </c>
      <c r="DC19" s="13">
        <f t="shared" ca="1" si="94"/>
        <v>350.43252986169034</v>
      </c>
      <c r="DD19" s="13">
        <f t="shared" ca="1" si="95"/>
        <v>358.01167030797751</v>
      </c>
      <c r="DE19" s="13">
        <f t="shared" ca="1" si="96"/>
        <v>378.17349131758942</v>
      </c>
    </row>
    <row r="20" spans="1:109" x14ac:dyDescent="0.3">
      <c r="A20">
        <f>YEARFRAC(swap_curve!$C$1,simulation_path!I20,3)</f>
        <v>7.3972602739726029E-2</v>
      </c>
      <c r="B20" s="31">
        <f>1-(1-swap_curve!$F$3)/_xlfn.DAYS(swap_curve!$I$2,swap_curve!$C$1)*_xlfn.DAYS(I20,$I$2)</f>
        <v>0.99741087191346967</v>
      </c>
      <c r="C20">
        <f t="shared" si="7"/>
        <v>3.5046565611778234E-2</v>
      </c>
      <c r="D20" s="14">
        <v>0</v>
      </c>
      <c r="E20">
        <f t="shared" si="2"/>
        <v>365.94748491137921</v>
      </c>
      <c r="F20" s="27">
        <f t="shared" ca="1" si="3"/>
        <v>2.109658552338658</v>
      </c>
      <c r="G20">
        <f t="shared" ca="1" si="4"/>
        <v>363.83782635904055</v>
      </c>
      <c r="H20">
        <f t="shared" ca="1" si="5"/>
        <v>16.162122161753555</v>
      </c>
      <c r="I20" s="1">
        <f>WORKDAY(I19,1,holiday!A$3:A$864)</f>
        <v>45446</v>
      </c>
      <c r="J20" s="13">
        <f t="shared" ca="1" si="6"/>
        <v>392.63370661241527</v>
      </c>
      <c r="K20" s="13">
        <f t="shared" ca="1" si="9"/>
        <v>351.59431956862892</v>
      </c>
      <c r="L20" s="13">
        <f t="shared" ca="1" si="10"/>
        <v>388.88630528746381</v>
      </c>
      <c r="M20" s="13">
        <f t="shared" ca="1" si="11"/>
        <v>392.04762771928648</v>
      </c>
      <c r="N20" s="13">
        <f t="shared" ca="1" si="12"/>
        <v>343.75159137009558</v>
      </c>
      <c r="O20" s="13">
        <f t="shared" ca="1" si="13"/>
        <v>388.52782248975114</v>
      </c>
      <c r="P20" s="13">
        <f t="shared" ca="1" si="14"/>
        <v>370.20677388709896</v>
      </c>
      <c r="Q20" s="13">
        <f t="shared" ca="1" si="15"/>
        <v>360.06575605969095</v>
      </c>
      <c r="R20" s="13">
        <f t="shared" ca="1" si="16"/>
        <v>376.49629111851095</v>
      </c>
      <c r="S20" s="13">
        <f t="shared" ca="1" si="17"/>
        <v>333.08130639798435</v>
      </c>
      <c r="T20" s="13">
        <f t="shared" ca="1" si="18"/>
        <v>370.48959682500458</v>
      </c>
      <c r="U20" s="13">
        <f t="shared" ca="1" si="19"/>
        <v>346.7128647093067</v>
      </c>
      <c r="V20" s="13">
        <f t="shared" ca="1" si="20"/>
        <v>361.66716851772696</v>
      </c>
      <c r="W20" s="13">
        <f t="shared" ca="1" si="21"/>
        <v>368.36033442895871</v>
      </c>
      <c r="X20" s="13">
        <f t="shared" ca="1" si="22"/>
        <v>358.55559511784287</v>
      </c>
      <c r="Y20" s="13">
        <f t="shared" ca="1" si="23"/>
        <v>372.68989063587566</v>
      </c>
      <c r="Z20" s="13">
        <f t="shared" ca="1" si="24"/>
        <v>358.13757512343841</v>
      </c>
      <c r="AA20" s="13">
        <f t="shared" ca="1" si="25"/>
        <v>338.05868436605499</v>
      </c>
      <c r="AB20" s="13">
        <f t="shared" ca="1" si="26"/>
        <v>371.47087735973798</v>
      </c>
      <c r="AC20" s="13">
        <f t="shared" ca="1" si="27"/>
        <v>350.61083087755901</v>
      </c>
      <c r="AD20" s="13">
        <f t="shared" ca="1" si="28"/>
        <v>360.869119915331</v>
      </c>
      <c r="AE20" s="13">
        <f t="shared" ca="1" si="29"/>
        <v>352.95548491405765</v>
      </c>
      <c r="AF20" s="13">
        <f t="shared" ca="1" si="30"/>
        <v>363.91937399136555</v>
      </c>
      <c r="AG20" s="13">
        <f t="shared" ca="1" si="31"/>
        <v>357.03693199523957</v>
      </c>
      <c r="AH20" s="13">
        <f t="shared" ca="1" si="32"/>
        <v>380.77002613370098</v>
      </c>
      <c r="AI20" s="13">
        <f t="shared" ca="1" si="33"/>
        <v>366.44778897811364</v>
      </c>
      <c r="AJ20" s="13">
        <f t="shared" ca="1" si="34"/>
        <v>338.6706320377923</v>
      </c>
      <c r="AK20" s="13">
        <f t="shared" ca="1" si="35"/>
        <v>382.15233809535175</v>
      </c>
      <c r="AL20" s="13">
        <f t="shared" ca="1" si="36"/>
        <v>343.02740465105308</v>
      </c>
      <c r="AM20" s="13">
        <f t="shared" ca="1" si="37"/>
        <v>376.58517234800956</v>
      </c>
      <c r="AN20" s="13">
        <f t="shared" ca="1" si="38"/>
        <v>407.87097076678867</v>
      </c>
      <c r="AO20" s="13">
        <f t="shared" ca="1" si="39"/>
        <v>361.67651001793581</v>
      </c>
      <c r="AP20" s="13">
        <f t="shared" ca="1" si="40"/>
        <v>342.13465361469804</v>
      </c>
      <c r="AQ20" s="13">
        <f t="shared" ca="1" si="41"/>
        <v>376.88484828891274</v>
      </c>
      <c r="AR20" s="13">
        <f t="shared" ca="1" si="42"/>
        <v>357.58776465843323</v>
      </c>
      <c r="AS20" s="13">
        <f t="shared" ca="1" si="43"/>
        <v>361.76554545484674</v>
      </c>
      <c r="AT20" s="13">
        <f t="shared" ca="1" si="44"/>
        <v>353.60057470673507</v>
      </c>
      <c r="AU20" s="13">
        <f t="shared" ca="1" si="45"/>
        <v>360.57222386505464</v>
      </c>
      <c r="AV20" s="13">
        <f t="shared" ca="1" si="46"/>
        <v>364.89590668047458</v>
      </c>
      <c r="AW20" s="13">
        <f t="shared" ca="1" si="47"/>
        <v>343.93901635831389</v>
      </c>
      <c r="AX20" s="13">
        <f t="shared" ca="1" si="48"/>
        <v>360.81277281479311</v>
      </c>
      <c r="AY20" s="13">
        <f t="shared" ca="1" si="49"/>
        <v>357.45743343409413</v>
      </c>
      <c r="AZ20" s="13">
        <f t="shared" ca="1" si="50"/>
        <v>358.63948206887773</v>
      </c>
      <c r="BA20" s="13">
        <f t="shared" ca="1" si="51"/>
        <v>374.46727558732016</v>
      </c>
      <c r="BB20" s="13">
        <f t="shared" ca="1" si="52"/>
        <v>372.89765529070974</v>
      </c>
      <c r="BC20" s="13">
        <f t="shared" ca="1" si="53"/>
        <v>376.11990751247714</v>
      </c>
      <c r="BD20" s="13">
        <f t="shared" ca="1" si="54"/>
        <v>350.79950588979494</v>
      </c>
      <c r="BE20" s="13">
        <f t="shared" ca="1" si="55"/>
        <v>359.83603537785785</v>
      </c>
      <c r="BF20" s="13">
        <f t="shared" ca="1" si="56"/>
        <v>345.90858461888655</v>
      </c>
      <c r="BG20" s="13">
        <f t="shared" ca="1" si="57"/>
        <v>400.53392342474814</v>
      </c>
      <c r="BH20" s="13">
        <f t="shared" ca="1" si="58"/>
        <v>347.61544583179227</v>
      </c>
      <c r="BI20" s="13">
        <f t="shared" ca="1" si="59"/>
        <v>368.75164328762111</v>
      </c>
      <c r="BJ20" s="13">
        <f t="shared" ca="1" si="60"/>
        <v>357.42964396563127</v>
      </c>
      <c r="BK20" s="13">
        <f t="shared" ca="1" si="61"/>
        <v>377.05374718997979</v>
      </c>
      <c r="BL20" s="13">
        <f t="shared" ca="1" si="62"/>
        <v>349.60163027806402</v>
      </c>
      <c r="BM20" s="13">
        <f t="shared" ca="1" si="63"/>
        <v>381.33236657146529</v>
      </c>
      <c r="BN20" s="13">
        <f t="shared" ca="1" si="64"/>
        <v>377.08925768516451</v>
      </c>
      <c r="BO20" s="13">
        <f t="shared" ca="1" si="65"/>
        <v>351.85023229273838</v>
      </c>
      <c r="BP20" s="13">
        <f t="shared" ca="1" si="66"/>
        <v>355.93336655073375</v>
      </c>
      <c r="BQ20" s="13">
        <f t="shared" ca="1" si="67"/>
        <v>359.91259208756088</v>
      </c>
      <c r="BR20" s="13">
        <f t="shared" ca="1" si="68"/>
        <v>352.79100004963988</v>
      </c>
      <c r="BS20" s="13">
        <f t="shared" ca="1" si="69"/>
        <v>340.85480172200124</v>
      </c>
      <c r="BT20" s="13">
        <f t="shared" ca="1" si="70"/>
        <v>381.51798043764654</v>
      </c>
      <c r="BU20" s="13">
        <f t="shared" ca="1" si="71"/>
        <v>388.53957270074255</v>
      </c>
      <c r="BV20" s="13">
        <f t="shared" ca="1" si="8"/>
        <v>338.26464353160588</v>
      </c>
      <c r="BW20" s="13">
        <f t="shared" ca="1" si="97"/>
        <v>337.21673697546748</v>
      </c>
      <c r="BX20" s="13">
        <f t="shared" ca="1" si="98"/>
        <v>351.06212250265094</v>
      </c>
      <c r="BY20" s="13">
        <f t="shared" ca="1" si="99"/>
        <v>378.78632821438748</v>
      </c>
      <c r="BZ20" s="13">
        <f t="shared" ca="1" si="100"/>
        <v>382.72055711539468</v>
      </c>
      <c r="CA20" s="13">
        <f t="shared" ca="1" si="101"/>
        <v>388.78786162994516</v>
      </c>
      <c r="CB20" s="13">
        <f t="shared" ca="1" si="102"/>
        <v>353.37691470510453</v>
      </c>
      <c r="CC20" s="13">
        <f t="shared" ca="1" si="103"/>
        <v>367.71915354501425</v>
      </c>
      <c r="CD20" s="13">
        <f t="shared" ca="1" si="104"/>
        <v>350.72023605631176</v>
      </c>
      <c r="CE20" s="13">
        <f t="shared" ca="1" si="105"/>
        <v>380.78737975806297</v>
      </c>
      <c r="CF20" s="13">
        <f t="shared" ca="1" si="106"/>
        <v>361.30975228812383</v>
      </c>
      <c r="CG20" s="13">
        <f t="shared" ca="1" si="72"/>
        <v>368.53153378935326</v>
      </c>
      <c r="CH20" s="13">
        <f t="shared" ca="1" si="73"/>
        <v>383.80586415034895</v>
      </c>
      <c r="CI20" s="13">
        <f t="shared" ca="1" si="74"/>
        <v>398.8388546597393</v>
      </c>
      <c r="CJ20" s="13">
        <f t="shared" ca="1" si="75"/>
        <v>352.6973351268893</v>
      </c>
      <c r="CK20" s="13">
        <f t="shared" ca="1" si="76"/>
        <v>342.55634181617069</v>
      </c>
      <c r="CL20" s="13">
        <f t="shared" ca="1" si="77"/>
        <v>352.65151979858416</v>
      </c>
      <c r="CM20" s="13">
        <f t="shared" ca="1" si="78"/>
        <v>362.18617472897665</v>
      </c>
      <c r="CN20" s="13">
        <f t="shared" ca="1" si="79"/>
        <v>377.80986860035398</v>
      </c>
      <c r="CO20" s="13">
        <f t="shared" ca="1" si="80"/>
        <v>384.5562601239759</v>
      </c>
      <c r="CP20" s="13">
        <f t="shared" ca="1" si="81"/>
        <v>357.61620388596276</v>
      </c>
      <c r="CQ20" s="13">
        <f t="shared" ca="1" si="82"/>
        <v>382.86300969608197</v>
      </c>
      <c r="CR20" s="13">
        <f t="shared" ca="1" si="83"/>
        <v>348.94758318264985</v>
      </c>
      <c r="CS20" s="13">
        <f t="shared" ca="1" si="84"/>
        <v>380.94087325639259</v>
      </c>
      <c r="CT20" s="13">
        <f t="shared" ca="1" si="85"/>
        <v>346.50390388353861</v>
      </c>
      <c r="CU20" s="13">
        <f t="shared" ca="1" si="86"/>
        <v>356.70936978071182</v>
      </c>
      <c r="CV20" s="13">
        <f t="shared" ca="1" si="87"/>
        <v>382.55721576210402</v>
      </c>
      <c r="CW20" s="13">
        <f t="shared" ca="1" si="88"/>
        <v>355.17153504494024</v>
      </c>
      <c r="CX20" s="13">
        <f t="shared" ca="1" si="89"/>
        <v>346.05939418668697</v>
      </c>
      <c r="CY20" s="13">
        <f t="shared" ca="1" si="90"/>
        <v>339.00946871646983</v>
      </c>
      <c r="CZ20" s="13">
        <f t="shared" ca="1" si="91"/>
        <v>352.67213082728387</v>
      </c>
      <c r="DA20" s="13">
        <f t="shared" ca="1" si="92"/>
        <v>370.12308714987199</v>
      </c>
      <c r="DB20" s="13">
        <f t="shared" ca="1" si="93"/>
        <v>358.98762237649146</v>
      </c>
      <c r="DC20" s="13">
        <f t="shared" ca="1" si="94"/>
        <v>353.43992917976675</v>
      </c>
      <c r="DD20" s="13">
        <f t="shared" ca="1" si="95"/>
        <v>363.32830742495878</v>
      </c>
      <c r="DE20" s="13">
        <f t="shared" ca="1" si="96"/>
        <v>379.31449981869946</v>
      </c>
    </row>
    <row r="21" spans="1:109" x14ac:dyDescent="0.3">
      <c r="A21">
        <f>YEARFRAC(swap_curve!$C$1,simulation_path!I21,3)</f>
        <v>7.6712328767123292E-2</v>
      </c>
      <c r="B21" s="31">
        <f>1-(1-swap_curve!$F$3)/_xlfn.DAYS(swap_curve!$I$2,swap_curve!$C$1)*_xlfn.DAYS(I21,$I$2)</f>
        <v>0.9973149782806352</v>
      </c>
      <c r="C21">
        <f t="shared" si="7"/>
        <v>3.5048249724995727E-2</v>
      </c>
      <c r="D21" s="14">
        <v>0</v>
      </c>
      <c r="E21">
        <f t="shared" si="2"/>
        <v>365.98267142167839</v>
      </c>
      <c r="F21" s="27">
        <f t="shared" ca="1" si="3"/>
        <v>2.1478475855416264</v>
      </c>
      <c r="G21">
        <f t="shared" ca="1" si="4"/>
        <v>363.83482383613676</v>
      </c>
      <c r="H21">
        <f t="shared" ca="1" si="5"/>
        <v>16.148493597080318</v>
      </c>
      <c r="I21" s="1">
        <f>WORKDAY(I20,1,holiday!A$3:A$864)</f>
        <v>45447</v>
      </c>
      <c r="J21" s="13">
        <f t="shared" ca="1" si="6"/>
        <v>396.45123936164151</v>
      </c>
      <c r="K21" s="13">
        <f t="shared" ca="1" si="9"/>
        <v>348.48893540224987</v>
      </c>
      <c r="L21" s="13">
        <f t="shared" ca="1" si="10"/>
        <v>387.89568347961506</v>
      </c>
      <c r="M21" s="13">
        <f t="shared" ca="1" si="11"/>
        <v>395.36573110183627</v>
      </c>
      <c r="N21" s="13">
        <f t="shared" ca="1" si="12"/>
        <v>343.19346488113922</v>
      </c>
      <c r="O21" s="13">
        <f t="shared" ca="1" si="13"/>
        <v>383.44413022142464</v>
      </c>
      <c r="P21" s="13">
        <f t="shared" ca="1" si="14"/>
        <v>372.94575390607736</v>
      </c>
      <c r="Q21" s="13">
        <f t="shared" ca="1" si="15"/>
        <v>361.48330430658001</v>
      </c>
      <c r="R21" s="13">
        <f t="shared" ca="1" si="16"/>
        <v>380.72492535525492</v>
      </c>
      <c r="S21" s="13">
        <f t="shared" ca="1" si="17"/>
        <v>329.72724578406468</v>
      </c>
      <c r="T21" s="13">
        <f t="shared" ca="1" si="18"/>
        <v>375.26301111266196</v>
      </c>
      <c r="U21" s="13">
        <f t="shared" ca="1" si="19"/>
        <v>353.28099978691711</v>
      </c>
      <c r="V21" s="13">
        <f t="shared" ca="1" si="20"/>
        <v>359.0453265538759</v>
      </c>
      <c r="W21" s="13">
        <f t="shared" ca="1" si="21"/>
        <v>366.08680064356173</v>
      </c>
      <c r="X21" s="13">
        <f t="shared" ca="1" si="22"/>
        <v>361.56490149757019</v>
      </c>
      <c r="Y21" s="13">
        <f t="shared" ca="1" si="23"/>
        <v>375.03399370639301</v>
      </c>
      <c r="Z21" s="13">
        <f t="shared" ca="1" si="24"/>
        <v>361.83443809697167</v>
      </c>
      <c r="AA21" s="13">
        <f t="shared" ca="1" si="25"/>
        <v>340.24072476146688</v>
      </c>
      <c r="AB21" s="13">
        <f t="shared" ca="1" si="26"/>
        <v>367.37638864417892</v>
      </c>
      <c r="AC21" s="13">
        <f t="shared" ca="1" si="27"/>
        <v>352.05924323463205</v>
      </c>
      <c r="AD21" s="13">
        <f t="shared" ca="1" si="28"/>
        <v>361.56681202290656</v>
      </c>
      <c r="AE21" s="13">
        <f t="shared" ca="1" si="29"/>
        <v>356.23530318961292</v>
      </c>
      <c r="AF21" s="13">
        <f t="shared" ca="1" si="30"/>
        <v>366.16034103035588</v>
      </c>
      <c r="AG21" s="13">
        <f t="shared" ca="1" si="31"/>
        <v>348.58445272636322</v>
      </c>
      <c r="AH21" s="13">
        <f t="shared" ca="1" si="32"/>
        <v>377.4053568540316</v>
      </c>
      <c r="AI21" s="13">
        <f t="shared" ca="1" si="33"/>
        <v>365.77677782654683</v>
      </c>
      <c r="AJ21" s="13">
        <f t="shared" ca="1" si="34"/>
        <v>341.27126210632076</v>
      </c>
      <c r="AK21" s="13">
        <f t="shared" ca="1" si="35"/>
        <v>374.25468521653573</v>
      </c>
      <c r="AL21" s="13">
        <f t="shared" ca="1" si="36"/>
        <v>344.29025178844358</v>
      </c>
      <c r="AM21" s="13">
        <f t="shared" ca="1" si="37"/>
        <v>376.106347266238</v>
      </c>
      <c r="AN21" s="13">
        <f t="shared" ca="1" si="38"/>
        <v>407.09448380248358</v>
      </c>
      <c r="AO21" s="13">
        <f t="shared" ca="1" si="39"/>
        <v>363.5744862850313</v>
      </c>
      <c r="AP21" s="13">
        <f t="shared" ca="1" si="40"/>
        <v>342.69824145592855</v>
      </c>
      <c r="AQ21" s="13">
        <f t="shared" ca="1" si="41"/>
        <v>379.24929264895894</v>
      </c>
      <c r="AR21" s="13">
        <f t="shared" ca="1" si="42"/>
        <v>357.4693116985847</v>
      </c>
      <c r="AS21" s="13">
        <f t="shared" ca="1" si="43"/>
        <v>362.09955603961396</v>
      </c>
      <c r="AT21" s="13">
        <f t="shared" ca="1" si="44"/>
        <v>349.3069636294573</v>
      </c>
      <c r="AU21" s="13">
        <f t="shared" ca="1" si="45"/>
        <v>355.20042783554396</v>
      </c>
      <c r="AV21" s="13">
        <f t="shared" ca="1" si="46"/>
        <v>363.93598560831447</v>
      </c>
      <c r="AW21" s="13">
        <f t="shared" ca="1" si="47"/>
        <v>343.1087834358442</v>
      </c>
      <c r="AX21" s="13">
        <f t="shared" ca="1" si="48"/>
        <v>362.14463025136484</v>
      </c>
      <c r="AY21" s="13">
        <f t="shared" ca="1" si="49"/>
        <v>356.32631918369157</v>
      </c>
      <c r="AZ21" s="13">
        <f t="shared" ca="1" si="50"/>
        <v>361.63605495688597</v>
      </c>
      <c r="BA21" s="13">
        <f t="shared" ca="1" si="51"/>
        <v>375.96728136600342</v>
      </c>
      <c r="BB21" s="13">
        <f t="shared" ca="1" si="52"/>
        <v>373.88563315826951</v>
      </c>
      <c r="BC21" s="13">
        <f t="shared" ca="1" si="53"/>
        <v>373.47952442966783</v>
      </c>
      <c r="BD21" s="13">
        <f t="shared" ca="1" si="54"/>
        <v>353.42641440413723</v>
      </c>
      <c r="BE21" s="13">
        <f t="shared" ca="1" si="55"/>
        <v>360.78542362731935</v>
      </c>
      <c r="BF21" s="13">
        <f t="shared" ca="1" si="56"/>
        <v>346.97837394392747</v>
      </c>
      <c r="BG21" s="13">
        <f t="shared" ca="1" si="57"/>
        <v>400.90708494421528</v>
      </c>
      <c r="BH21" s="13">
        <f t="shared" ca="1" si="58"/>
        <v>352.06116933772739</v>
      </c>
      <c r="BI21" s="13">
        <f t="shared" ca="1" si="59"/>
        <v>367.2547821831327</v>
      </c>
      <c r="BJ21" s="13">
        <f t="shared" ca="1" si="60"/>
        <v>356.90562313713633</v>
      </c>
      <c r="BK21" s="13">
        <f t="shared" ca="1" si="61"/>
        <v>378.89425612245805</v>
      </c>
      <c r="BL21" s="13">
        <f t="shared" ca="1" si="62"/>
        <v>352.11822934652895</v>
      </c>
      <c r="BM21" s="13">
        <f t="shared" ca="1" si="63"/>
        <v>382.17102790743951</v>
      </c>
      <c r="BN21" s="13">
        <f t="shared" ca="1" si="64"/>
        <v>380.64364399190623</v>
      </c>
      <c r="BO21" s="13">
        <f t="shared" ca="1" si="65"/>
        <v>357.11911588988829</v>
      </c>
      <c r="BP21" s="13">
        <f t="shared" ca="1" si="66"/>
        <v>351.58881349605485</v>
      </c>
      <c r="BQ21" s="13">
        <f t="shared" ca="1" si="67"/>
        <v>357.54168551506098</v>
      </c>
      <c r="BR21" s="13">
        <f t="shared" ca="1" si="68"/>
        <v>350.31148443314345</v>
      </c>
      <c r="BS21" s="13">
        <f t="shared" ca="1" si="69"/>
        <v>344.96299634334065</v>
      </c>
      <c r="BT21" s="13">
        <f t="shared" ca="1" si="70"/>
        <v>374.89139294857739</v>
      </c>
      <c r="BU21" s="13">
        <f t="shared" ca="1" si="71"/>
        <v>391.81748415897391</v>
      </c>
      <c r="BV21" s="13">
        <f t="shared" ca="1" si="8"/>
        <v>343.97356837363435</v>
      </c>
      <c r="BW21" s="13">
        <f t="shared" ca="1" si="97"/>
        <v>344.39060764975636</v>
      </c>
      <c r="BX21" s="13">
        <f t="shared" ca="1" si="98"/>
        <v>354.84629290212291</v>
      </c>
      <c r="BY21" s="13">
        <f t="shared" ca="1" si="99"/>
        <v>373.79655237545927</v>
      </c>
      <c r="BZ21" s="13">
        <f t="shared" ca="1" si="100"/>
        <v>382.9797278470719</v>
      </c>
      <c r="CA21" s="13">
        <f t="shared" ca="1" si="101"/>
        <v>388.8567527764842</v>
      </c>
      <c r="CB21" s="13">
        <f t="shared" ca="1" si="102"/>
        <v>353.18643906810945</v>
      </c>
      <c r="CC21" s="13">
        <f t="shared" ca="1" si="103"/>
        <v>360.82010290761144</v>
      </c>
      <c r="CD21" s="13">
        <f t="shared" ca="1" si="104"/>
        <v>345.71698979674761</v>
      </c>
      <c r="CE21" s="13">
        <f t="shared" ca="1" si="105"/>
        <v>379.38979288143719</v>
      </c>
      <c r="CF21" s="13">
        <f t="shared" ca="1" si="106"/>
        <v>357.12905315810627</v>
      </c>
      <c r="CG21" s="13">
        <f t="shared" ca="1" si="72"/>
        <v>369.82132566915095</v>
      </c>
      <c r="CH21" s="13">
        <f t="shared" ca="1" si="73"/>
        <v>379.73682279209623</v>
      </c>
      <c r="CI21" s="13">
        <f t="shared" ca="1" si="74"/>
        <v>398.88038388249822</v>
      </c>
      <c r="CJ21" s="13">
        <f t="shared" ca="1" si="75"/>
        <v>349.19014580859886</v>
      </c>
      <c r="CK21" s="13">
        <f t="shared" ca="1" si="76"/>
        <v>344.42481834649789</v>
      </c>
      <c r="CL21" s="13">
        <f t="shared" ca="1" si="77"/>
        <v>352.97932477058851</v>
      </c>
      <c r="CM21" s="13">
        <f t="shared" ca="1" si="78"/>
        <v>367.09676429172634</v>
      </c>
      <c r="CN21" s="13">
        <f t="shared" ca="1" si="79"/>
        <v>377.55834391176597</v>
      </c>
      <c r="CO21" s="13">
        <f t="shared" ca="1" si="80"/>
        <v>386.98023890834844</v>
      </c>
      <c r="CP21" s="13">
        <f t="shared" ca="1" si="81"/>
        <v>354.84781053455089</v>
      </c>
      <c r="CQ21" s="13">
        <f t="shared" ca="1" si="82"/>
        <v>386.19802055584069</v>
      </c>
      <c r="CR21" s="13">
        <f t="shared" ca="1" si="83"/>
        <v>345.20319880886524</v>
      </c>
      <c r="CS21" s="13">
        <f t="shared" ca="1" si="84"/>
        <v>377.88724792681518</v>
      </c>
      <c r="CT21" s="13">
        <f t="shared" ca="1" si="85"/>
        <v>341.02586995997297</v>
      </c>
      <c r="CU21" s="13">
        <f t="shared" ca="1" si="86"/>
        <v>354.97043262846694</v>
      </c>
      <c r="CV21" s="13">
        <f t="shared" ca="1" si="87"/>
        <v>387.27245701585338</v>
      </c>
      <c r="CW21" s="13">
        <f t="shared" ca="1" si="88"/>
        <v>363.64187988102282</v>
      </c>
      <c r="CX21" s="13">
        <f t="shared" ca="1" si="89"/>
        <v>346.2232262380391</v>
      </c>
      <c r="CY21" s="13">
        <f t="shared" ca="1" si="90"/>
        <v>341.19014173424688</v>
      </c>
      <c r="CZ21" s="13">
        <f t="shared" ca="1" si="91"/>
        <v>347.81084110202409</v>
      </c>
      <c r="DA21" s="13">
        <f t="shared" ca="1" si="92"/>
        <v>368.69248046855796</v>
      </c>
      <c r="DB21" s="13">
        <f t="shared" ca="1" si="93"/>
        <v>356.68341864872554</v>
      </c>
      <c r="DC21" s="13">
        <f t="shared" ca="1" si="94"/>
        <v>354.53938064446493</v>
      </c>
      <c r="DD21" s="13">
        <f t="shared" ca="1" si="95"/>
        <v>355.06231630486462</v>
      </c>
      <c r="DE21" s="13">
        <f t="shared" ca="1" si="96"/>
        <v>379.76580366148278</v>
      </c>
    </row>
    <row r="22" spans="1:109" x14ac:dyDescent="0.3">
      <c r="A22">
        <f>YEARFRAC(swap_curve!$C$1,simulation_path!I22,3)</f>
        <v>7.9452054794520555E-2</v>
      </c>
      <c r="B22" s="31">
        <f>1-(1-swap_curve!$F$3)/_xlfn.DAYS(swap_curve!$I$2,swap_curve!$C$1)*_xlfn.DAYS(I22,$I$2)</f>
        <v>0.99721908464780074</v>
      </c>
      <c r="C22">
        <f t="shared" si="7"/>
        <v>3.5049934054086039E-2</v>
      </c>
      <c r="D22" s="14">
        <v>0</v>
      </c>
      <c r="E22">
        <f t="shared" si="2"/>
        <v>366.01786469912099</v>
      </c>
      <c r="F22" s="27">
        <f t="shared" ca="1" si="3"/>
        <v>1.9610966029316614</v>
      </c>
      <c r="G22">
        <f t="shared" ca="1" si="4"/>
        <v>364.05676809618933</v>
      </c>
      <c r="H22">
        <f t="shared" ca="1" si="5"/>
        <v>16.854755582222591</v>
      </c>
      <c r="I22" s="1">
        <f>WORKDAY(I21,1,holiday!A$3:A$864)</f>
        <v>45448</v>
      </c>
      <c r="J22" s="13">
        <f t="shared" ca="1" si="6"/>
        <v>399.49060037451932</v>
      </c>
      <c r="K22" s="13">
        <f t="shared" ca="1" si="9"/>
        <v>352.58436597239398</v>
      </c>
      <c r="L22" s="13">
        <f t="shared" ca="1" si="10"/>
        <v>382.37351458672919</v>
      </c>
      <c r="M22" s="13">
        <f t="shared" ca="1" si="11"/>
        <v>400.79206414897334</v>
      </c>
      <c r="N22" s="13">
        <f t="shared" ca="1" si="12"/>
        <v>338.1603722289301</v>
      </c>
      <c r="O22" s="13">
        <f t="shared" ca="1" si="13"/>
        <v>386.49017255276766</v>
      </c>
      <c r="P22" s="13">
        <f t="shared" ca="1" si="14"/>
        <v>374.80673737232144</v>
      </c>
      <c r="Q22" s="13">
        <f t="shared" ca="1" si="15"/>
        <v>364.24626734301347</v>
      </c>
      <c r="R22" s="13">
        <f t="shared" ca="1" si="16"/>
        <v>383.41231780352524</v>
      </c>
      <c r="S22" s="13">
        <f t="shared" ca="1" si="17"/>
        <v>328.92399699273653</v>
      </c>
      <c r="T22" s="13">
        <f t="shared" ca="1" si="18"/>
        <v>374.28148800731037</v>
      </c>
      <c r="U22" s="13">
        <f t="shared" ca="1" si="19"/>
        <v>354.02892968488931</v>
      </c>
      <c r="V22" s="13">
        <f t="shared" ca="1" si="20"/>
        <v>361.74020234701982</v>
      </c>
      <c r="W22" s="13">
        <f t="shared" ca="1" si="21"/>
        <v>363.61906534190649</v>
      </c>
      <c r="X22" s="13">
        <f t="shared" ca="1" si="22"/>
        <v>362.51349810374188</v>
      </c>
      <c r="Y22" s="13">
        <f t="shared" ca="1" si="23"/>
        <v>377.05872213830168</v>
      </c>
      <c r="Z22" s="13">
        <f t="shared" ca="1" si="24"/>
        <v>360.23410061546622</v>
      </c>
      <c r="AA22" s="13">
        <f t="shared" ca="1" si="25"/>
        <v>341.56975784257634</v>
      </c>
      <c r="AB22" s="13">
        <f t="shared" ca="1" si="26"/>
        <v>366.24766774690875</v>
      </c>
      <c r="AC22" s="13">
        <f t="shared" ca="1" si="27"/>
        <v>350.36860664365952</v>
      </c>
      <c r="AD22" s="13">
        <f t="shared" ca="1" si="28"/>
        <v>359.23564083113126</v>
      </c>
      <c r="AE22" s="13">
        <f t="shared" ca="1" si="29"/>
        <v>354.74500748996849</v>
      </c>
      <c r="AF22" s="13">
        <f t="shared" ca="1" si="30"/>
        <v>359.77306773152509</v>
      </c>
      <c r="AG22" s="13">
        <f t="shared" ca="1" si="31"/>
        <v>347.50081877107755</v>
      </c>
      <c r="AH22" s="13">
        <f t="shared" ca="1" si="32"/>
        <v>387.07517823890566</v>
      </c>
      <c r="AI22" s="13">
        <f t="shared" ca="1" si="33"/>
        <v>368.28516998642135</v>
      </c>
      <c r="AJ22" s="13">
        <f t="shared" ca="1" si="34"/>
        <v>335.42354189417478</v>
      </c>
      <c r="AK22" s="13">
        <f t="shared" ca="1" si="35"/>
        <v>369.79946810734316</v>
      </c>
      <c r="AL22" s="13">
        <f t="shared" ca="1" si="36"/>
        <v>345.73207762859681</v>
      </c>
      <c r="AM22" s="13">
        <f t="shared" ca="1" si="37"/>
        <v>377.04807811929618</v>
      </c>
      <c r="AN22" s="13">
        <f t="shared" ca="1" si="38"/>
        <v>413.03759956386256</v>
      </c>
      <c r="AO22" s="13">
        <f t="shared" ca="1" si="39"/>
        <v>367.64470310899623</v>
      </c>
      <c r="AP22" s="13">
        <f t="shared" ca="1" si="40"/>
        <v>343.45826095535676</v>
      </c>
      <c r="AQ22" s="13">
        <f t="shared" ca="1" si="41"/>
        <v>383.02971298036761</v>
      </c>
      <c r="AR22" s="13">
        <f t="shared" ca="1" si="42"/>
        <v>359.14356453924967</v>
      </c>
      <c r="AS22" s="13">
        <f t="shared" ca="1" si="43"/>
        <v>367.21149638263336</v>
      </c>
      <c r="AT22" s="13">
        <f t="shared" ca="1" si="44"/>
        <v>344.93123541292454</v>
      </c>
      <c r="AU22" s="13">
        <f t="shared" ca="1" si="45"/>
        <v>364.14395945592179</v>
      </c>
      <c r="AV22" s="13">
        <f t="shared" ca="1" si="46"/>
        <v>366.05100451258483</v>
      </c>
      <c r="AW22" s="13">
        <f t="shared" ca="1" si="47"/>
        <v>347.30808568626361</v>
      </c>
      <c r="AX22" s="13">
        <f t="shared" ca="1" si="48"/>
        <v>362.24231744666537</v>
      </c>
      <c r="AY22" s="13">
        <f t="shared" ca="1" si="49"/>
        <v>352.28546887249632</v>
      </c>
      <c r="AZ22" s="13">
        <f t="shared" ca="1" si="50"/>
        <v>354.66472869524785</v>
      </c>
      <c r="BA22" s="13">
        <f t="shared" ca="1" si="51"/>
        <v>372.48074662452348</v>
      </c>
      <c r="BB22" s="13">
        <f t="shared" ca="1" si="52"/>
        <v>374.501099728214</v>
      </c>
      <c r="BC22" s="13">
        <f t="shared" ca="1" si="53"/>
        <v>376.98516927271487</v>
      </c>
      <c r="BD22" s="13">
        <f t="shared" ca="1" si="54"/>
        <v>353.37800341755775</v>
      </c>
      <c r="BE22" s="13">
        <f t="shared" ca="1" si="55"/>
        <v>360.97949114261405</v>
      </c>
      <c r="BF22" s="13">
        <f t="shared" ca="1" si="56"/>
        <v>343.23900320041872</v>
      </c>
      <c r="BG22" s="13">
        <f t="shared" ca="1" si="57"/>
        <v>406.11712705926112</v>
      </c>
      <c r="BH22" s="13">
        <f t="shared" ca="1" si="58"/>
        <v>350.1484615977987</v>
      </c>
      <c r="BI22" s="13">
        <f t="shared" ca="1" si="59"/>
        <v>367.64666670829746</v>
      </c>
      <c r="BJ22" s="13">
        <f t="shared" ca="1" si="60"/>
        <v>362.16494792521235</v>
      </c>
      <c r="BK22" s="13">
        <f t="shared" ca="1" si="61"/>
        <v>375.73451199351524</v>
      </c>
      <c r="BL22" s="13">
        <f t="shared" ca="1" si="62"/>
        <v>348.35993213027677</v>
      </c>
      <c r="BM22" s="13">
        <f t="shared" ca="1" si="63"/>
        <v>382.05724743878301</v>
      </c>
      <c r="BN22" s="13">
        <f t="shared" ca="1" si="64"/>
        <v>377.94737277475559</v>
      </c>
      <c r="BO22" s="13">
        <f t="shared" ca="1" si="65"/>
        <v>358.09732263361542</v>
      </c>
      <c r="BP22" s="13">
        <f t="shared" ca="1" si="66"/>
        <v>352.37676168071215</v>
      </c>
      <c r="BQ22" s="13">
        <f t="shared" ca="1" si="67"/>
        <v>362.40642937220844</v>
      </c>
      <c r="BR22" s="13">
        <f t="shared" ca="1" si="68"/>
        <v>349.08565773036247</v>
      </c>
      <c r="BS22" s="13">
        <f t="shared" ca="1" si="69"/>
        <v>342.2035429409986</v>
      </c>
      <c r="BT22" s="13">
        <f t="shared" ca="1" si="70"/>
        <v>375.64259243773978</v>
      </c>
      <c r="BU22" s="13">
        <f t="shared" ca="1" si="71"/>
        <v>391.3506122817958</v>
      </c>
      <c r="BV22" s="13">
        <f t="shared" ca="1" si="8"/>
        <v>340.59637087844544</v>
      </c>
      <c r="BW22" s="13">
        <f t="shared" ca="1" si="97"/>
        <v>348.21215676592612</v>
      </c>
      <c r="BX22" s="13">
        <f t="shared" ca="1" si="98"/>
        <v>356.13732284523371</v>
      </c>
      <c r="BY22" s="13">
        <f t="shared" ca="1" si="99"/>
        <v>377.71106691962672</v>
      </c>
      <c r="BZ22" s="13">
        <f t="shared" ca="1" si="100"/>
        <v>380.22451279877026</v>
      </c>
      <c r="CA22" s="13">
        <f t="shared" ca="1" si="101"/>
        <v>389.22964589479534</v>
      </c>
      <c r="CB22" s="13">
        <f t="shared" ca="1" si="102"/>
        <v>354.85120308619378</v>
      </c>
      <c r="CC22" s="13">
        <f t="shared" ca="1" si="103"/>
        <v>359.61128874311828</v>
      </c>
      <c r="CD22" s="13">
        <f t="shared" ca="1" si="104"/>
        <v>349.85533147113068</v>
      </c>
      <c r="CE22" s="13">
        <f t="shared" ca="1" si="105"/>
        <v>377.10046663865307</v>
      </c>
      <c r="CF22" s="13">
        <f t="shared" ca="1" si="106"/>
        <v>347.52888852832223</v>
      </c>
      <c r="CG22" s="13">
        <f t="shared" ca="1" si="72"/>
        <v>370.0605688601907</v>
      </c>
      <c r="CH22" s="13">
        <f t="shared" ca="1" si="73"/>
        <v>374.31134904277201</v>
      </c>
      <c r="CI22" s="13">
        <f t="shared" ca="1" si="74"/>
        <v>400.21026599758869</v>
      </c>
      <c r="CJ22" s="13">
        <f t="shared" ca="1" si="75"/>
        <v>353.96941952860686</v>
      </c>
      <c r="CK22" s="13">
        <f t="shared" ca="1" si="76"/>
        <v>348.44944610591591</v>
      </c>
      <c r="CL22" s="13">
        <f t="shared" ca="1" si="77"/>
        <v>350.98848623054636</v>
      </c>
      <c r="CM22" s="13">
        <f t="shared" ca="1" si="78"/>
        <v>365.80146740721796</v>
      </c>
      <c r="CN22" s="13">
        <f t="shared" ca="1" si="79"/>
        <v>378.68109090443744</v>
      </c>
      <c r="CO22" s="13">
        <f t="shared" ca="1" si="80"/>
        <v>387.89176986102905</v>
      </c>
      <c r="CP22" s="13">
        <f t="shared" ca="1" si="81"/>
        <v>352.36425386260436</v>
      </c>
      <c r="CQ22" s="13">
        <f t="shared" ca="1" si="82"/>
        <v>381.77417294958866</v>
      </c>
      <c r="CR22" s="13">
        <f t="shared" ca="1" si="83"/>
        <v>341.28645416158673</v>
      </c>
      <c r="CS22" s="13">
        <f t="shared" ca="1" si="84"/>
        <v>377.96019298637754</v>
      </c>
      <c r="CT22" s="13">
        <f t="shared" ca="1" si="85"/>
        <v>339.57984758545365</v>
      </c>
      <c r="CU22" s="13">
        <f t="shared" ca="1" si="86"/>
        <v>350.81196300298211</v>
      </c>
      <c r="CV22" s="13">
        <f t="shared" ca="1" si="87"/>
        <v>389.75218303083108</v>
      </c>
      <c r="CW22" s="13">
        <f t="shared" ca="1" si="88"/>
        <v>364.10113402670981</v>
      </c>
      <c r="CX22" s="13">
        <f t="shared" ca="1" si="89"/>
        <v>347.947091855922</v>
      </c>
      <c r="CY22" s="13">
        <f t="shared" ca="1" si="90"/>
        <v>344.60543268971566</v>
      </c>
      <c r="CZ22" s="13">
        <f t="shared" ca="1" si="91"/>
        <v>348.28432848996061</v>
      </c>
      <c r="DA22" s="13">
        <f t="shared" ca="1" si="92"/>
        <v>367.75648588750164</v>
      </c>
      <c r="DB22" s="13">
        <f t="shared" ca="1" si="93"/>
        <v>363.95471220653383</v>
      </c>
      <c r="DC22" s="13">
        <f t="shared" ca="1" si="94"/>
        <v>357.13493491310294</v>
      </c>
      <c r="DD22" s="13">
        <f t="shared" ca="1" si="95"/>
        <v>358.33921638371584</v>
      </c>
      <c r="DE22" s="13">
        <f t="shared" ca="1" si="96"/>
        <v>372.98695272775626</v>
      </c>
    </row>
    <row r="23" spans="1:109" x14ac:dyDescent="0.3">
      <c r="A23">
        <f>YEARFRAC(swap_curve!$C$1,simulation_path!I23,3)</f>
        <v>8.4931506849315067E-2</v>
      </c>
      <c r="B23" s="31">
        <f>1-(1-swap_curve!$F$3)/_xlfn.DAYS(swap_curve!$I$2,swap_curve!$C$1)*_xlfn.DAYS(I23,$I$2)</f>
        <v>0.99702729738213181</v>
      </c>
      <c r="C23">
        <f t="shared" si="7"/>
        <v>3.5053303360071959E-2</v>
      </c>
      <c r="D23" s="14">
        <v>0</v>
      </c>
      <c r="E23">
        <f t="shared" si="2"/>
        <v>366.08827156324691</v>
      </c>
      <c r="F23" s="27">
        <f t="shared" ca="1" si="3"/>
        <v>2.4011049067907493</v>
      </c>
      <c r="G23">
        <f t="shared" ca="1" si="4"/>
        <v>363.68716665645616</v>
      </c>
      <c r="H23">
        <f t="shared" ca="1" si="5"/>
        <v>16.446524854313427</v>
      </c>
      <c r="I23" s="1">
        <f>WORKDAY(I22,1,holiday!A$3:A$864)</f>
        <v>45450</v>
      </c>
      <c r="J23" s="13">
        <f t="shared" ca="1" si="6"/>
        <v>402.13038198262501</v>
      </c>
      <c r="K23" s="13">
        <f t="shared" ca="1" si="9"/>
        <v>347.25809708576384</v>
      </c>
      <c r="L23" s="13">
        <f t="shared" ca="1" si="10"/>
        <v>383.37307200770789</v>
      </c>
      <c r="M23" s="13">
        <f t="shared" ca="1" si="11"/>
        <v>400.01334706060078</v>
      </c>
      <c r="N23" s="13">
        <f t="shared" ca="1" si="12"/>
        <v>334.82025840618957</v>
      </c>
      <c r="O23" s="13">
        <f t="shared" ca="1" si="13"/>
        <v>387.66695144646866</v>
      </c>
      <c r="P23" s="13">
        <f t="shared" ca="1" si="14"/>
        <v>377.47204255626997</v>
      </c>
      <c r="Q23" s="13">
        <f t="shared" ca="1" si="15"/>
        <v>356.84275156555634</v>
      </c>
      <c r="R23" s="13">
        <f t="shared" ca="1" si="16"/>
        <v>379.56887260519989</v>
      </c>
      <c r="S23" s="13">
        <f t="shared" ca="1" si="17"/>
        <v>334.21117155471399</v>
      </c>
      <c r="T23" s="13">
        <f t="shared" ca="1" si="18"/>
        <v>370.85737102548364</v>
      </c>
      <c r="U23" s="13">
        <f t="shared" ca="1" si="19"/>
        <v>357.17907674071921</v>
      </c>
      <c r="V23" s="13">
        <f t="shared" ca="1" si="20"/>
        <v>363.29653549837212</v>
      </c>
      <c r="W23" s="13">
        <f t="shared" ca="1" si="21"/>
        <v>371.31767888605111</v>
      </c>
      <c r="X23" s="13">
        <f t="shared" ca="1" si="22"/>
        <v>356.89411553455193</v>
      </c>
      <c r="Y23" s="13">
        <f t="shared" ca="1" si="23"/>
        <v>373.36203531150647</v>
      </c>
      <c r="Z23" s="13">
        <f t="shared" ca="1" si="24"/>
        <v>358.85040961709194</v>
      </c>
      <c r="AA23" s="13">
        <f t="shared" ca="1" si="25"/>
        <v>336.96276770234238</v>
      </c>
      <c r="AB23" s="13">
        <f t="shared" ca="1" si="26"/>
        <v>368.62987247979777</v>
      </c>
      <c r="AC23" s="13">
        <f t="shared" ca="1" si="27"/>
        <v>355.73421692063533</v>
      </c>
      <c r="AD23" s="13">
        <f t="shared" ca="1" si="28"/>
        <v>363.73404425519391</v>
      </c>
      <c r="AE23" s="13">
        <f t="shared" ca="1" si="29"/>
        <v>353.30806048991616</v>
      </c>
      <c r="AF23" s="13">
        <f t="shared" ca="1" si="30"/>
        <v>364.44516243176855</v>
      </c>
      <c r="AG23" s="13">
        <f t="shared" ca="1" si="31"/>
        <v>354.6214180535585</v>
      </c>
      <c r="AH23" s="13">
        <f t="shared" ca="1" si="32"/>
        <v>388.69459463289826</v>
      </c>
      <c r="AI23" s="13">
        <f t="shared" ca="1" si="33"/>
        <v>363.74894128922534</v>
      </c>
      <c r="AJ23" s="13">
        <f t="shared" ca="1" si="34"/>
        <v>335.17784282306678</v>
      </c>
      <c r="AK23" s="13">
        <f t="shared" ca="1" si="35"/>
        <v>364.84546264049862</v>
      </c>
      <c r="AL23" s="13">
        <f t="shared" ca="1" si="36"/>
        <v>345.02782716336674</v>
      </c>
      <c r="AM23" s="13">
        <f t="shared" ca="1" si="37"/>
        <v>372.93368464875448</v>
      </c>
      <c r="AN23" s="13">
        <f t="shared" ca="1" si="38"/>
        <v>405.28128240663449</v>
      </c>
      <c r="AO23" s="13">
        <f t="shared" ca="1" si="39"/>
        <v>362.66079621299798</v>
      </c>
      <c r="AP23" s="13">
        <f t="shared" ca="1" si="40"/>
        <v>343.98463314074706</v>
      </c>
      <c r="AQ23" s="13">
        <f t="shared" ca="1" si="41"/>
        <v>381.95778533485543</v>
      </c>
      <c r="AR23" s="13">
        <f t="shared" ca="1" si="42"/>
        <v>358.05636824151935</v>
      </c>
      <c r="AS23" s="13">
        <f t="shared" ca="1" si="43"/>
        <v>360.54794525854334</v>
      </c>
      <c r="AT23" s="13">
        <f t="shared" ca="1" si="44"/>
        <v>345.00740414747304</v>
      </c>
      <c r="AU23" s="13">
        <f t="shared" ca="1" si="45"/>
        <v>364.40410646838967</v>
      </c>
      <c r="AV23" s="13">
        <f t="shared" ca="1" si="46"/>
        <v>363.80587699348735</v>
      </c>
      <c r="AW23" s="13">
        <f t="shared" ca="1" si="47"/>
        <v>343.93351239582091</v>
      </c>
      <c r="AX23" s="13">
        <f t="shared" ca="1" si="48"/>
        <v>373.1001770905001</v>
      </c>
      <c r="AY23" s="13">
        <f t="shared" ca="1" si="49"/>
        <v>357.74086049097173</v>
      </c>
      <c r="AZ23" s="13">
        <f t="shared" ca="1" si="50"/>
        <v>351.97191090914231</v>
      </c>
      <c r="BA23" s="13">
        <f t="shared" ca="1" si="51"/>
        <v>369.58932488307391</v>
      </c>
      <c r="BB23" s="13">
        <f t="shared" ca="1" si="52"/>
        <v>373.73128420896535</v>
      </c>
      <c r="BC23" s="13">
        <f t="shared" ca="1" si="53"/>
        <v>372.01767177296307</v>
      </c>
      <c r="BD23" s="13">
        <f t="shared" ca="1" si="54"/>
        <v>347.47417533706346</v>
      </c>
      <c r="BE23" s="13">
        <f t="shared" ca="1" si="55"/>
        <v>365.04192845661561</v>
      </c>
      <c r="BF23" s="13">
        <f t="shared" ca="1" si="56"/>
        <v>346.50723852574509</v>
      </c>
      <c r="BG23" s="13">
        <f t="shared" ca="1" si="57"/>
        <v>402.01178873616522</v>
      </c>
      <c r="BH23" s="13">
        <f t="shared" ca="1" si="58"/>
        <v>353.41149640055568</v>
      </c>
      <c r="BI23" s="13">
        <f t="shared" ca="1" si="59"/>
        <v>367.81493296997115</v>
      </c>
      <c r="BJ23" s="13">
        <f t="shared" ca="1" si="60"/>
        <v>364.49804360669418</v>
      </c>
      <c r="BK23" s="13">
        <f t="shared" ca="1" si="61"/>
        <v>381.77771663593313</v>
      </c>
      <c r="BL23" s="13">
        <f t="shared" ca="1" si="62"/>
        <v>349.29210798492079</v>
      </c>
      <c r="BM23" s="13">
        <f t="shared" ca="1" si="63"/>
        <v>383.40466212595146</v>
      </c>
      <c r="BN23" s="13">
        <f t="shared" ca="1" si="64"/>
        <v>376.58915548002415</v>
      </c>
      <c r="BO23" s="13">
        <f t="shared" ca="1" si="65"/>
        <v>363.1796538127594</v>
      </c>
      <c r="BP23" s="13">
        <f t="shared" ca="1" si="66"/>
        <v>345.19777702721467</v>
      </c>
      <c r="BQ23" s="13">
        <f t="shared" ca="1" si="67"/>
        <v>362.80703941574797</v>
      </c>
      <c r="BR23" s="13">
        <f t="shared" ca="1" si="68"/>
        <v>343.79208755882223</v>
      </c>
      <c r="BS23" s="13">
        <f t="shared" ca="1" si="69"/>
        <v>347.05036885138747</v>
      </c>
      <c r="BT23" s="13">
        <f t="shared" ca="1" si="70"/>
        <v>370.80164227832086</v>
      </c>
      <c r="BU23" s="13">
        <f t="shared" ca="1" si="71"/>
        <v>390.93554251611727</v>
      </c>
      <c r="BV23" s="13">
        <f t="shared" ca="1" si="8"/>
        <v>339.27646925286791</v>
      </c>
      <c r="BW23" s="13">
        <f t="shared" ca="1" si="97"/>
        <v>350.29217689991674</v>
      </c>
      <c r="BX23" s="13">
        <f t="shared" ca="1" si="98"/>
        <v>353.47489150336185</v>
      </c>
      <c r="BY23" s="13">
        <f t="shared" ca="1" si="99"/>
        <v>377.88509087494475</v>
      </c>
      <c r="BZ23" s="13">
        <f t="shared" ca="1" si="100"/>
        <v>379.98128099918932</v>
      </c>
      <c r="CA23" s="13">
        <f t="shared" ca="1" si="101"/>
        <v>383.02118599514421</v>
      </c>
      <c r="CB23" s="13">
        <f t="shared" ca="1" si="102"/>
        <v>353.014654554419</v>
      </c>
      <c r="CC23" s="13">
        <f t="shared" ca="1" si="103"/>
        <v>355.95666138529236</v>
      </c>
      <c r="CD23" s="13">
        <f t="shared" ca="1" si="104"/>
        <v>352.71329207108704</v>
      </c>
      <c r="CE23" s="13">
        <f t="shared" ca="1" si="105"/>
        <v>379.16369674658824</v>
      </c>
      <c r="CF23" s="13">
        <f t="shared" ca="1" si="106"/>
        <v>347.28272758061848</v>
      </c>
      <c r="CG23" s="13">
        <f t="shared" ca="1" si="72"/>
        <v>369.52027488808562</v>
      </c>
      <c r="CH23" s="13">
        <f t="shared" ca="1" si="73"/>
        <v>379.77590156177774</v>
      </c>
      <c r="CI23" s="13">
        <f t="shared" ca="1" si="74"/>
        <v>398.74694757177457</v>
      </c>
      <c r="CJ23" s="13">
        <f t="shared" ca="1" si="75"/>
        <v>349.64055167367746</v>
      </c>
      <c r="CK23" s="13">
        <f t="shared" ca="1" si="76"/>
        <v>353.21179361632068</v>
      </c>
      <c r="CL23" s="13">
        <f t="shared" ca="1" si="77"/>
        <v>355.85275736707837</v>
      </c>
      <c r="CM23" s="13">
        <f t="shared" ca="1" si="78"/>
        <v>364.74043498138451</v>
      </c>
      <c r="CN23" s="13">
        <f t="shared" ca="1" si="79"/>
        <v>374.23833332250615</v>
      </c>
      <c r="CO23" s="13">
        <f t="shared" ca="1" si="80"/>
        <v>385.02758509712055</v>
      </c>
      <c r="CP23" s="13">
        <f t="shared" ca="1" si="81"/>
        <v>347.72289394664608</v>
      </c>
      <c r="CQ23" s="13">
        <f t="shared" ca="1" si="82"/>
        <v>375.57557961028562</v>
      </c>
      <c r="CR23" s="13">
        <f t="shared" ca="1" si="83"/>
        <v>337.05064548994727</v>
      </c>
      <c r="CS23" s="13">
        <f t="shared" ca="1" si="84"/>
        <v>378.31755764662466</v>
      </c>
      <c r="CT23" s="13">
        <f t="shared" ca="1" si="85"/>
        <v>336.91304402002447</v>
      </c>
      <c r="CU23" s="13">
        <f t="shared" ca="1" si="86"/>
        <v>347.92524288800291</v>
      </c>
      <c r="CV23" s="13">
        <f t="shared" ca="1" si="87"/>
        <v>386.9777041102468</v>
      </c>
      <c r="CW23" s="13">
        <f t="shared" ca="1" si="88"/>
        <v>365.4815343459764</v>
      </c>
      <c r="CX23" s="13">
        <f t="shared" ca="1" si="89"/>
        <v>350.940348475527</v>
      </c>
      <c r="CY23" s="13">
        <f t="shared" ca="1" si="90"/>
        <v>349.76787207195758</v>
      </c>
      <c r="CZ23" s="13">
        <f t="shared" ca="1" si="91"/>
        <v>353.40111691532559</v>
      </c>
      <c r="DA23" s="13">
        <f t="shared" ca="1" si="92"/>
        <v>371.23976196953976</v>
      </c>
      <c r="DB23" s="13">
        <f t="shared" ca="1" si="93"/>
        <v>363.62271180010072</v>
      </c>
      <c r="DC23" s="13">
        <f t="shared" ca="1" si="94"/>
        <v>353.70809236193003</v>
      </c>
      <c r="DD23" s="13">
        <f t="shared" ca="1" si="95"/>
        <v>358.33315482614699</v>
      </c>
      <c r="DE23" s="13">
        <f t="shared" ca="1" si="96"/>
        <v>376.56633513219555</v>
      </c>
    </row>
    <row r="24" spans="1:109" x14ac:dyDescent="0.3">
      <c r="F24" s="27"/>
      <c r="I24" s="1"/>
    </row>
    <row r="25" spans="1:109" x14ac:dyDescent="0.3">
      <c r="I25" s="1"/>
    </row>
    <row r="26" spans="1:109" x14ac:dyDescent="0.3">
      <c r="I26" s="1"/>
    </row>
    <row r="27" spans="1:109" x14ac:dyDescent="0.3">
      <c r="I27" s="1"/>
    </row>
    <row r="28" spans="1:109" x14ac:dyDescent="0.3">
      <c r="I28" s="15"/>
    </row>
    <row r="29" spans="1:109" x14ac:dyDescent="0.3">
      <c r="I29" s="15"/>
    </row>
    <row r="30" spans="1:109" x14ac:dyDescent="0.3">
      <c r="I30" s="1"/>
    </row>
    <row r="31" spans="1:109" x14ac:dyDescent="0.3">
      <c r="I31" s="1"/>
    </row>
    <row r="32" spans="1:109" x14ac:dyDescent="0.3">
      <c r="I32" s="1"/>
    </row>
    <row r="33" spans="9:9" x14ac:dyDescent="0.3">
      <c r="I33" s="1"/>
    </row>
    <row r="34" spans="9:9" x14ac:dyDescent="0.3">
      <c r="I34" s="1"/>
    </row>
    <row r="35" spans="9:9" x14ac:dyDescent="0.3">
      <c r="I35" s="1"/>
    </row>
    <row r="36" spans="9:9" x14ac:dyDescent="0.3">
      <c r="I36" s="1"/>
    </row>
    <row r="37" spans="9:9" x14ac:dyDescent="0.3">
      <c r="I37" s="1"/>
    </row>
    <row r="38" spans="9:9" x14ac:dyDescent="0.3">
      <c r="I38" s="1"/>
    </row>
    <row r="39" spans="9:9" x14ac:dyDescent="0.3">
      <c r="I39" s="1"/>
    </row>
    <row r="40" spans="9:9" x14ac:dyDescent="0.3">
      <c r="I40" s="1"/>
    </row>
    <row r="41" spans="9:9" x14ac:dyDescent="0.3">
      <c r="I41" s="1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holiday</vt:lpstr>
      <vt:lpstr>market_data</vt:lpstr>
      <vt:lpstr>swap_curve</vt:lpstr>
      <vt:lpstr>imvol</vt:lpstr>
      <vt:lpstr>vol_surface</vt:lpstr>
      <vt:lpstr>simulation_path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주한음</dc:creator>
  <cp:lastModifiedBy>주한음</cp:lastModifiedBy>
  <dcterms:created xsi:type="dcterms:W3CDTF">2024-06-14T02:48:49Z</dcterms:created>
  <dcterms:modified xsi:type="dcterms:W3CDTF">2024-06-16T13:50:04Z</dcterms:modified>
</cp:coreProperties>
</file>